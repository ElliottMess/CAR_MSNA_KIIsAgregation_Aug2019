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lliott Messeiller\Documents\SpiderOak Hive\IMPACT\26_CAR\MSNA_KIIsAgregation\CAR\"/>
    </mc:Choice>
  </mc:AlternateContent>
  <bookViews>
    <workbookView xWindow="0" yWindow="0" windowWidth="28800" windowHeight="18000" activeTab="1"/>
  </bookViews>
  <sheets>
    <sheet name="MSNA_HH" sheetId="1" r:id="rId1"/>
    <sheet name="MSNA_KI" sheetId="2" r:id="rId2"/>
  </sheets>
  <definedNames>
    <definedName name="_xlnm._FilterDatabase" localSheetId="0" hidden="1">MSNA_HH!$A$1:$K$98</definedName>
    <definedName name="_xlnm._FilterDatabase" localSheetId="1" hidden="1">MSNA_KI!$A$1:$J$95</definedName>
    <definedName name="_ftnref1" localSheetId="0">MSNA_HH!#REF!</definedName>
    <definedName name="_Toc9841885" localSheetId="0">MSNA_HH!#REF!</definedName>
    <definedName name="_Toc9841895" localSheetId="0">MSNA_HH!#REF!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5" i="2" l="1"/>
  <c r="D95" i="2" s="1"/>
  <c r="C94" i="2"/>
  <c r="D94" i="2" s="1"/>
  <c r="C93" i="2"/>
  <c r="D93" i="2" s="1"/>
  <c r="C92" i="2"/>
  <c r="D92" i="2" s="1"/>
  <c r="C91" i="2"/>
  <c r="D91" i="2" s="1"/>
  <c r="C90" i="2"/>
  <c r="D90" i="2" s="1"/>
  <c r="C89" i="2"/>
  <c r="D89" i="2" s="1"/>
  <c r="C88" i="2"/>
  <c r="D88" i="2" s="1"/>
  <c r="C87" i="2"/>
  <c r="D87" i="2" s="1"/>
  <c r="C86" i="2"/>
  <c r="D86" i="2" s="1"/>
  <c r="C85" i="2"/>
  <c r="D85" i="2" s="1"/>
  <c r="C83" i="2"/>
  <c r="D83" i="2" s="1"/>
  <c r="C82" i="2"/>
  <c r="D82" i="2" s="1"/>
  <c r="C81" i="2"/>
  <c r="D81" i="2" s="1"/>
  <c r="C80" i="2"/>
  <c r="D80" i="2" s="1"/>
  <c r="C79" i="2"/>
  <c r="D79" i="2" s="1"/>
  <c r="C78" i="2"/>
  <c r="D78" i="2" s="1"/>
  <c r="C77" i="2"/>
  <c r="D77" i="2" s="1"/>
  <c r="C76" i="2"/>
  <c r="D76" i="2" s="1"/>
  <c r="C75" i="2"/>
  <c r="D75" i="2" s="1"/>
  <c r="C74" i="2"/>
  <c r="D74" i="2" s="1"/>
  <c r="C73" i="2"/>
  <c r="D73" i="2" s="1"/>
  <c r="C72" i="2"/>
  <c r="D72" i="2" s="1"/>
  <c r="C71" i="2"/>
  <c r="D71" i="2" s="1"/>
  <c r="C70" i="2"/>
  <c r="D70" i="2" s="1"/>
  <c r="C69" i="2"/>
  <c r="D69" i="2" s="1"/>
  <c r="C68" i="2"/>
  <c r="D68" i="2" s="1"/>
  <c r="D67" i="2"/>
  <c r="C66" i="2"/>
  <c r="D66" i="2" s="1"/>
  <c r="C63" i="2"/>
  <c r="D63" i="2" s="1"/>
  <c r="C62" i="2"/>
  <c r="D62" i="2" s="1"/>
  <c r="C61" i="2"/>
  <c r="D61" i="2" s="1"/>
  <c r="C60" i="2"/>
  <c r="D60" i="2" s="1"/>
  <c r="C59" i="2"/>
  <c r="D59" i="2" s="1"/>
  <c r="C58" i="2"/>
  <c r="D58" i="2" s="1"/>
  <c r="C57" i="2"/>
  <c r="D57" i="2" s="1"/>
  <c r="C56" i="2"/>
  <c r="D56" i="2" s="1"/>
  <c r="C55" i="2"/>
  <c r="D55" i="2" s="1"/>
  <c r="C54" i="2"/>
  <c r="D54" i="2" s="1"/>
  <c r="C53" i="2"/>
  <c r="D53" i="2" s="1"/>
  <c r="C52" i="2"/>
  <c r="D52" i="2" s="1"/>
  <c r="C51" i="2"/>
  <c r="D51" i="2" s="1"/>
  <c r="C50" i="2"/>
  <c r="D50" i="2" s="1"/>
  <c r="C49" i="2"/>
  <c r="D49" i="2" s="1"/>
  <c r="C48" i="2"/>
  <c r="D48" i="2" s="1"/>
  <c r="C47" i="2"/>
  <c r="D47" i="2" s="1"/>
  <c r="C46" i="2"/>
  <c r="D46" i="2" s="1"/>
  <c r="C45" i="2"/>
  <c r="D45" i="2" s="1"/>
  <c r="C44" i="2"/>
  <c r="D44" i="2" s="1"/>
  <c r="C43" i="2"/>
  <c r="D43" i="2" s="1"/>
  <c r="C42" i="2"/>
  <c r="D42" i="2" s="1"/>
  <c r="C41" i="2"/>
  <c r="D41" i="2" s="1"/>
  <c r="C40" i="2"/>
  <c r="D40" i="2" s="1"/>
  <c r="C39" i="2"/>
  <c r="D39" i="2" s="1"/>
  <c r="C38" i="2"/>
  <c r="D38" i="2" s="1"/>
  <c r="C37" i="2"/>
  <c r="D37" i="2" s="1"/>
  <c r="C36" i="2"/>
  <c r="D36" i="2" s="1"/>
  <c r="C35" i="2"/>
  <c r="D35" i="2" s="1"/>
  <c r="C34" i="2"/>
  <c r="D34" i="2" s="1"/>
  <c r="C33" i="2"/>
  <c r="D33" i="2" s="1"/>
  <c r="C32" i="2"/>
  <c r="D32" i="2" s="1"/>
  <c r="C31" i="2"/>
  <c r="D31" i="2" s="1"/>
  <c r="C30" i="2"/>
  <c r="D30" i="2" s="1"/>
  <c r="C29" i="2"/>
  <c r="D29" i="2" s="1"/>
  <c r="C28" i="2"/>
  <c r="D28" i="2" s="1"/>
  <c r="C27" i="2"/>
  <c r="D27" i="2" s="1"/>
  <c r="C26" i="2"/>
  <c r="D26" i="2" s="1"/>
  <c r="C25" i="2"/>
  <c r="D25" i="2" s="1"/>
  <c r="C24" i="2"/>
  <c r="D24" i="2" s="1"/>
  <c r="C23" i="2"/>
  <c r="D23" i="2" s="1"/>
  <c r="C22" i="2"/>
  <c r="D22" i="2" s="1"/>
  <c r="C21" i="2"/>
  <c r="D21" i="2" s="1"/>
  <c r="C20" i="2"/>
  <c r="D20" i="2" s="1"/>
  <c r="C19" i="2"/>
  <c r="D19" i="2" s="1"/>
  <c r="C18" i="2"/>
  <c r="D18" i="2" s="1"/>
  <c r="C17" i="2"/>
  <c r="D17" i="2" s="1"/>
  <c r="C16" i="2"/>
  <c r="D16" i="2" s="1"/>
  <c r="C15" i="2"/>
  <c r="D15" i="2" s="1"/>
  <c r="C95" i="1" l="1"/>
  <c r="D95" i="1" s="1"/>
  <c r="C96" i="1"/>
  <c r="C97" i="1"/>
  <c r="C98" i="1"/>
  <c r="C90" i="1"/>
  <c r="C91" i="1"/>
  <c r="C92" i="1"/>
  <c r="C68" i="1"/>
  <c r="C69" i="1"/>
  <c r="C70" i="1"/>
  <c r="C71" i="1"/>
  <c r="C72" i="1"/>
  <c r="C73" i="1"/>
  <c r="C74" i="1"/>
  <c r="C75" i="1"/>
  <c r="C76" i="1"/>
  <c r="C77" i="1"/>
  <c r="C78" i="1"/>
  <c r="C79" i="1"/>
  <c r="C80" i="1"/>
  <c r="C81" i="1"/>
  <c r="C82" i="1"/>
  <c r="C83" i="1"/>
  <c r="C84" i="1"/>
  <c r="C85" i="1"/>
  <c r="C86" i="1"/>
  <c r="C67"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11" i="1"/>
  <c r="C12" i="1"/>
  <c r="C13" i="1"/>
  <c r="C14" i="1"/>
  <c r="C15" i="1"/>
  <c r="C16" i="1"/>
  <c r="C17" i="1"/>
  <c r="C18" i="1"/>
  <c r="C19" i="1"/>
  <c r="D44" i="1" l="1"/>
  <c r="C21" i="1" l="1"/>
  <c r="D21" i="1" s="1"/>
  <c r="C94" i="1" l="1"/>
  <c r="D94" i="1" s="1"/>
  <c r="D98" i="1" l="1"/>
  <c r="D97" i="1"/>
  <c r="D45" i="1" l="1"/>
  <c r="D27" i="1" l="1"/>
  <c r="D26" i="1"/>
  <c r="D32" i="1" l="1"/>
  <c r="D96" i="1" l="1"/>
  <c r="C89" i="1"/>
  <c r="D11" i="1" l="1"/>
  <c r="D12" i="1"/>
  <c r="D13" i="1"/>
  <c r="D23" i="1"/>
  <c r="D14" i="1"/>
  <c r="D28" i="1"/>
  <c r="D61" i="1"/>
  <c r="D62" i="1"/>
  <c r="D63" i="1"/>
  <c r="D70" i="1"/>
  <c r="D75" i="1"/>
  <c r="C10" i="1"/>
  <c r="D52" i="1" l="1"/>
  <c r="E88" i="1"/>
  <c r="D88" i="1" s="1"/>
  <c r="D53" i="1"/>
  <c r="D18" i="1"/>
  <c r="D22" i="1" l="1"/>
  <c r="D17" i="1" l="1"/>
  <c r="D31" i="1" l="1"/>
  <c r="D30" i="1"/>
  <c r="D29" i="1"/>
  <c r="D51" i="1" l="1"/>
  <c r="D50" i="1"/>
  <c r="D19" i="1"/>
  <c r="D59" i="1"/>
  <c r="D56" i="1"/>
  <c r="D57" i="1"/>
  <c r="D38" i="1" l="1"/>
  <c r="D89" i="1" l="1"/>
  <c r="D15" i="1" l="1"/>
  <c r="D24" i="1"/>
  <c r="D25" i="1"/>
  <c r="D16" i="1"/>
  <c r="D42" i="1"/>
  <c r="D43" i="1"/>
  <c r="D46" i="1"/>
  <c r="D47" i="1"/>
  <c r="D48" i="1"/>
  <c r="D49" i="1"/>
  <c r="D58" i="1"/>
  <c r="D55" i="1"/>
  <c r="D60" i="1"/>
  <c r="D64" i="1"/>
  <c r="D67" i="1"/>
  <c r="D68" i="1"/>
  <c r="D69" i="1"/>
  <c r="D71" i="1"/>
  <c r="D72" i="1"/>
  <c r="D73" i="1"/>
  <c r="D74" i="1"/>
  <c r="D76" i="1"/>
  <c r="D77" i="1"/>
  <c r="D33" i="1"/>
  <c r="D78" i="1"/>
  <c r="D34" i="1"/>
  <c r="D35" i="1"/>
  <c r="D36" i="1"/>
  <c r="D37" i="1"/>
  <c r="D41" i="1"/>
  <c r="D79" i="1"/>
  <c r="D80" i="1"/>
  <c r="D81" i="1"/>
  <c r="D82" i="1"/>
  <c r="D83" i="1"/>
  <c r="D39" i="1"/>
  <c r="D40" i="1"/>
  <c r="D85" i="1"/>
  <c r="D86" i="1"/>
  <c r="D90" i="1"/>
  <c r="D91" i="1"/>
  <c r="D92" i="1"/>
  <c r="D10" i="1"/>
  <c r="D54" i="1"/>
</calcChain>
</file>

<file path=xl/sharedStrings.xml><?xml version="1.0" encoding="utf-8"?>
<sst xmlns="http://schemas.openxmlformats.org/spreadsheetml/2006/main" count="1636" uniqueCount="769">
  <si>
    <t>Groupe d'indicateurs</t>
  </si>
  <si>
    <t>Méthode de collecte de données</t>
  </si>
  <si>
    <t>Indicateur / Variable</t>
  </si>
  <si>
    <t>Question</t>
  </si>
  <si>
    <t>Niveau de collecte de données</t>
  </si>
  <si>
    <t>Informations Générales</t>
  </si>
  <si>
    <t>Zone accessible - HH</t>
  </si>
  <si>
    <t>HH</t>
  </si>
  <si>
    <t>% de déplacés par raison de départ</t>
  </si>
  <si>
    <t>% de retournés / rapatriés par raison de retour</t>
  </si>
  <si>
    <t>% de ménages retournés / rapatrié n'ayant pas encore rejoint leur destination finale, par raison</t>
  </si>
  <si>
    <t>Item list</t>
  </si>
  <si>
    <t>Item List</t>
  </si>
  <si>
    <t>NFI / Abri / CCCM</t>
  </si>
  <si>
    <t>Score NFI</t>
  </si>
  <si>
    <t>c.f. item list indicator</t>
  </si>
  <si>
    <t>% de ménages vivant dans un abri sous-dimensionné (moins de 3.5m2/pp)</t>
  </si>
  <si>
    <t>Nombre de personnes dormant dans l’abri</t>
  </si>
  <si>
    <t>Taille de l’abri (en m²)</t>
  </si>
  <si>
    <t>% de ménages par type de réponse humanitaire souhaitée</t>
  </si>
  <si>
    <t>MSSC</t>
  </si>
  <si>
    <t>% de ménages par source principale de revenu (top 3 ressources par ménages) au cours des 90 derniers jours</t>
  </si>
  <si>
    <t>Sécurité Alimentaire</t>
  </si>
  <si>
    <t>Indice FCS</t>
  </si>
  <si>
    <t xml:space="preserve">Combien de jours, durant les 7 derniers jours, les membres de votre ménage ont-ils consommé les produits alimentaires suivants ? </t>
  </si>
  <si>
    <t>Indice HHS</t>
  </si>
  <si>
    <t>% de ménages par source principale de nourriture</t>
  </si>
  <si>
    <t>% de ménages n'ayant pas eu accès à un marché fonctionnel (physique, disponibilité, abordabilité) au cours des 7 derniers jours, à distance de marche, par raison</t>
  </si>
  <si>
    <t xml:space="preserve">Au cours des 7 derniers jours, y avait-t-il un marché fonctionnel à distance de marche ? </t>
  </si>
  <si>
    <t>EHA</t>
  </si>
  <si>
    <t xml:space="preserve">Temps moyen pour aller à la source d'eau principale, collecter l’eau et revenir </t>
  </si>
  <si>
    <t>Au cours des 7 derniers jours, combien de temps vous faut-il pour rejoindre votre source d'eau principale, récupérer l'eau et revenir (incluant le temps d'attente à la source)?</t>
  </si>
  <si>
    <t>% de ménages où la population a accès au point d'eau en saison sèche et humide</t>
  </si>
  <si>
    <t>Est-ce que la principale source d'eau que vous utilisez est disponible durant la saison sèche et la saison des pluie?</t>
  </si>
  <si>
    <t>% de ménages faisant face à des difficultés d'accès à l'eau, par type de difficultés</t>
  </si>
  <si>
    <t>% de ménages n'ayant pas accès à des infrastructures sanitaires hygiéniques au cours des 7 derniers jours, par type d'infrastructure sanitaire</t>
  </si>
  <si>
    <t xml:space="preserve">Au cours des 7 derniers jours, quel type d'infrastructure sanitaire (latrine ou toilettes) utilisez-vous au sein du ménage ? </t>
  </si>
  <si>
    <t>Toilette / latrine hygiénique acceptable
Latrine non hygiénique / non acceptable
Défécation à l'air libre sans zone précise
Défécation à l'air libre dans le cours d'eau 
Défécation à l'air libre dans une zone précise et contrôlée 
Autre
Je ne sais pas ou je ne souhaite pas répondre</t>
  </si>
  <si>
    <t>% de ménages partageant leurs latrines avec plus de 20 personnes</t>
  </si>
  <si>
    <t>% de ménages utilisant des latrines communautaires comprenant un espace réservé aux femmes</t>
  </si>
  <si>
    <t>% de ménages faisant face à des problèmes sanitaires environnementaux
&amp;
% de ménages vivant dans des zones où des déchets sont visibles autour de leurs habitations (30 mètres ou moins) dans les derniers 30 jours</t>
  </si>
  <si>
    <t>Au cours des 30 derniers jours, était-il possible de voir autour de votre logement (30 mètre ou moins) : Déchets solides ou ordures ; Excréments humains ; Eau stagnante ; Animaux morts ; Rongeurs ; Autre (précisez)</t>
  </si>
  <si>
    <t>1. Jamais visible
2. Parfois visible
3. Toujours visible</t>
  </si>
  <si>
    <t>% de ménages par type de support souhaité</t>
  </si>
  <si>
    <t xml:space="preserve">Afin de clarifier notre discussion concernant l'eau, l'hygiène et l'assainissement, quelle est votre plus grande inquiétude actuellement concernant votre ménage (rank 1 to 3) 
</t>
  </si>
  <si>
    <t>Etre capable d'accéder à de l'eau de qualité et en quantité pour boire, cuisiner, se laver et laver 
Etre capable d'accéder à des infrastructures sanitaires (toilettes / latrines) adéquates
Etre capable d'assurer son hygiène personnelle
Avoir un environnement propre et sain autour de la maison, par exemple ne pas avoir de déchets visibles ou d'eau stagnante dans les environs
Aucun problème en particulier</t>
  </si>
  <si>
    <t>Santé</t>
  </si>
  <si>
    <t>Nutrition</t>
  </si>
  <si>
    <t>Zone accessible - Dépistage au sein des enfants de moins de 5 ans des ménages interrogés</t>
  </si>
  <si>
    <t>% d’enfants de moins de 5 ans dépistés MAS</t>
  </si>
  <si>
    <t>Nb d'enfants</t>
  </si>
  <si>
    <t xml:space="preserve">Tous les enfants de moins de 5 ans des ménages enquêté </t>
  </si>
  <si>
    <t>Santé / Nutrition</t>
  </si>
  <si>
    <t>Education</t>
  </si>
  <si>
    <t>Taux d'inscription scolaire, en comparaison avec l'année précédente,  par tranche d'âge et genre de l'enfant</t>
  </si>
  <si>
    <t>Taux de participation scolaire, en comparaison avec l'année précédente, par tranche d'âge et genre de l'enfant</t>
  </si>
  <si>
    <t>% de ménages ayant au moins un enfant déscolarisé/ayant été présent à moins de 6 mois sur l'année scolaire précédente, par type de contraintes/barrières principales de ne pas fréquenter l’école.</t>
  </si>
  <si>
    <t>% de ménages ayant au moins un enfant déscolarisé/ayant été présent à moins de 6 mois sur l'année scolaire précédente, par type de support éducatif souhaité</t>
  </si>
  <si>
    <t>% de ménages dont au moins un des adultes du ménage ou le chef du ménage ne se sent actuellement pas en sécurité dans sa localité, son environnement et sa situation, par raison</t>
  </si>
  <si>
    <t>% de ménages avec des enfants de moins de 18 ans ne vivant pas sous le même toit que leurs parent, par raison</t>
  </si>
  <si>
    <t>Estimez-vous (vous-même et les membres de votre ménage) avoir un accès non-discriminatoire aux services de base ?</t>
  </si>
  <si>
    <t>Accès à l'eau ; Accès aux centres de soin ; Accès à l'éducation ; Accès à la justice ; Aucune discrimination rapportée</t>
  </si>
  <si>
    <t>% de ménages par stratégie d'adaptation</t>
  </si>
  <si>
    <t>AAP</t>
  </si>
  <si>
    <t>Comment préféreriez-vous donner un retour aux fournisseurs d’aide humanitaire pour les informer sur la qualité, la quantité et l’adéquation de l’aide que vous pourriez recevoir ?</t>
  </si>
  <si>
    <t xml:space="preserve">Oui/Non/Ne sait pas </t>
  </si>
  <si>
    <t>Si « oui »– Quel type de travail était-ce?</t>
  </si>
  <si>
    <t>Agriculture / exploitation forestière
Pêche
Mines / carrières
Production industrielle
Construction
Commerce de gros et de détail / réparation de véhicules automobiles et de motocycles
Hôtellerie et services de restauration
Militaire
Arts, spectacles et loisirs
Prostitution / exploitation sexuelle
Production de drogues / vente ou trafic de drogues
Mendicité
Services personnels (p. ex. salons de massage, salons de beauté)
Travail domestique
Engagement dans des combats
Participation à d'autres actions militaires
Fournir des services de soutien à la force ou au groupe armé (p. ex. cuisiner, aller chercher de l'eau, ramasser du bois de chauffage)
Portier
Espionner
Fourniture de services sexuels
Autre (merci de préciser)
Je ne sais pas 
Je ne souhaite pas répondre</t>
  </si>
  <si>
    <t>% de ménages dont au moins un membre a été forcé de travailler, d'accepter un emploi et de rester dans un emploi contre sa volonté</t>
  </si>
  <si>
    <t>% de ménages dont au moins un membre a été forcé de travailler, d'accepter un emploi et de rester dans un emploi contre sa volonté, par type d'activité</t>
  </si>
  <si>
    <t>Question_ID</t>
  </si>
  <si>
    <t>IL</t>
  </si>
  <si>
    <t>Secteur_ID</t>
  </si>
  <si>
    <t>Num_ID</t>
  </si>
  <si>
    <t>IG</t>
  </si>
  <si>
    <t>NFI</t>
  </si>
  <si>
    <t>SecAl</t>
  </si>
  <si>
    <t>WASH</t>
  </si>
  <si>
    <t>Sante</t>
  </si>
  <si>
    <t>Nut</t>
  </si>
  <si>
    <t>Educ</t>
  </si>
  <si>
    <t>Protec</t>
  </si>
  <si>
    <t>En quelle source avez-vous le plus confiance pour recevoir les informations dont vous avez besoin?</t>
  </si>
  <si>
    <t>% de ménages souhaitant recevoir de l’information, par source de confiance</t>
  </si>
  <si>
    <t>% de ménages souhaitant recevoir de l’information, par type d’information</t>
  </si>
  <si>
    <t>Quel type d’information aimeriez-vous recevoir ? (Merci de sélectionner les 3 types d’information que vous souhaiteriez)</t>
  </si>
  <si>
    <t>Quel serait votre moyen préféré pour recevoir de l’information ?</t>
  </si>
  <si>
    <t>% de ménages souhaitant recevoir de l’information, par type de moyens de communication</t>
  </si>
  <si>
    <t>% de ménages souhaitant donner un retour ou déposer leurs plaintes aux fournisseurs d’aide humanitaire, par type de moyens préférés</t>
  </si>
  <si>
    <t>Présent toute l'année
Présent pour la majorité de l'année (&gt; 6 mois)
Présent entre 3 et 6 mois
Présent moins de 3 mois
Jamais présent</t>
  </si>
  <si>
    <t>% de ménages ayant au moins un enfant en situation de handicap, par accès à l’éducation</t>
  </si>
  <si>
    <t>1. L’école est fermée ou non fonctionnelle (Occupée par des groupes armés ; Partiellement / totalement endommagée ; Occupée par des IDPs ; Manque de professeurs ; Manque d’élèves)
2. L'accès à l'école ou être dans l'école n'est pas sûr (Ce n’est pas sûr de faire le trajet jusqu’à l’école ; Risque d’enlèvements, de bombardements, de violence contre l'enfant (violences corporelles, harcèlement de la part des professeurs ou des élèves))
3. L’école est financièrement non accessible (Les charges sont trop élevées (fournitures scolaire, frais scolaires, nourriture, uniformes, etc.) ; Les moyens de transport sont trop chers)
4. Impossibilité d’enregistrer les enfants à l’école (Manque de documentations officielles ; Mouvement récent ou continu d’emplacement ; Nouveaux sur la localisation, enregistrement prévu pour l’année suivante ; Discrimination de l’enfant ; Résultats trop faible pour continuer l’école)
5a. Physiquement impossible pour l’enfant de se rendre à l'école (Enfant en situation d’handicap ; Enfant traumatisé ; L’enfant a été malade (pendant plus de 6 mois) )
5b. L'accès à l'école est impossible (L’école et trop loin ;  Aucun transport n’est disponible ; Manque d’essence pour transporter l’enfant à l’école ; L’enfant est trop jeune)
6. L’école est surpeuplée
7. Il manque du staff pour gérer l’école (Manque de professeurs ; Manque de professeurs compétents)
8. Les infrastructures de l’école sont mauvaises (Le bâtiment est dans un mauvais état (e.g. manque de fourniture, manque d’électricité, fuite d’eau, manque de latrines, etc.) ; Les infrastructures EHA sont dans un mauvais état (entretien des latrines, odeurs, ségrégation du genre, etc.))
9. Le cursus scolaire n’est pas adapté pour nos enfants (Le programme n’est pas approprié ; La langue d’enseignement n’est pas appropriée)
10. Nos enfants sont déjà occupés (Les enfants doivent rester à la maison pour assister la famille dans l’entretien du ménage ou contribuer au revenu du ménage ; Les enfants sont déjà mariés ; Les enfants doivent ramener de l'argent)
11. Je ne veux pas que mon enfant aille à l’école (Pour causes de coutumes / traditions ; Je ne pense pas que l’école soit nécessaire / je ne considère pas l’éducation comme important ; L’école a déjà été trop souvent manquée pour rattraper le retard accumulé ; L’enfant ne doit pas recevoir une éducation occidentale)
12. L’enfant n’est pas intéressé par l’école
13. Autres (merci de préciser)</t>
  </si>
  <si>
    <t>Protection (SC PE, SC VBG &amp; LTB)</t>
  </si>
  <si>
    <t xml:space="preserve">Par produits alimentaires consommés au cours des 7 derniers jours :
Et comment ces aliments ont-ils été acquis ? </t>
  </si>
  <si>
    <t xml:space="preserve">Au cours des 30 derniers jours, n'y avait-il aucun aliment à manger à la maison, de quelque nature que ce soit à cause du manque de ressources ? </t>
  </si>
  <si>
    <t>Au cours des 30 derniers jours, étiez-vous ou tout membre de votre ménage obligé de dormir affamé le soir parce qu'il n'y avait pas assez de nourriture ?</t>
  </si>
  <si>
    <t>Au cours des 30 derniers jours, avez-vous ou tout membre de votre ménage passé un jour et une nuit entiers sans rien manger parce qu'il n'y avait pas assez de nourriture ?</t>
  </si>
  <si>
    <t>Oui
Non</t>
  </si>
  <si>
    <t>% de ménages retournés / rapatrié n'ayant pas encore rejoint leur destination finale</t>
  </si>
  <si>
    <t>% de ménages par statut de déplacement</t>
  </si>
  <si>
    <t>Dépenses médicales / santé
Vêtements, chaussures
Education, frais de scolarité
Remboursement de dette
Construction / Réparation de logement
Evénements sociaux / Festivités
Intrants agricoles (semences, engrais, pesticides)
Intrants élevage (aliment bétail, produits vétérinaires, pierres à lécher)
Autre (à préciser) : ____________</t>
  </si>
  <si>
    <t>Articles alimentaires
Electricité
Eau
Logement / Location
Téléphone / Accès internet
Combustible : bois / charbon de bois / pétrole lampant / gaz butane
Transport (déplacement, voyage, carburant, dépense pour les véhicules, etc.)
Savon / produits d’entretien et de nettoyage / Hygiène et soins corporels
Tabac/Alcool</t>
  </si>
  <si>
    <t>% de ménages par dépenses mensuelles, par catégorie</t>
  </si>
  <si>
    <t>Revenu moyen mensuel au cours des derniers 90 jours (en XAF) estimé par ménage</t>
  </si>
  <si>
    <t>Pouvez-vous estimer quel a été le revenu mensuel total du ménage, en moyenne sur les 90 derniers jours ?</t>
  </si>
  <si>
    <t xml:space="preserve">% de ménages n'ayant pas pu pratiquer l’agriculture au cours de cette saison, par raison </t>
  </si>
  <si>
    <t>Au cours des 90 derniers jours, quelles ont été les 3 principales sources de votre revenu ?</t>
  </si>
  <si>
    <t>Combien avez-vous dépensé pour acquérir les biens et/ou services au cours des 30 derniers jours ? 
Dépense estimée en XAF pour chacune des catégories (si aucune dépense, écrire 0):</t>
  </si>
  <si>
    <t>% de ménages par dépenses semestrielles, par catégorie</t>
  </si>
  <si>
    <t>% des ménages n'ayant pas eu accès à un service de maternité lors du dernier accouchement (max 5 ans), par raison</t>
  </si>
  <si>
    <t>% des ménages ayant eu au moins un membre malade au cours de 30 derniers jours, par type de soin reçu</t>
  </si>
  <si>
    <t>% des ménages n'ayant pas accès au service de santé, par raison</t>
  </si>
  <si>
    <t>% d’enfants de moins de 5 ans dépistés MAM</t>
  </si>
  <si>
    <t>% de ménage dont au moins un membre est décédé durant les 90 derniers jours, par cause de décès
% d’enfants de moins de 5 ans décédés durant les 90 derniers jours, par cause de décès</t>
  </si>
  <si>
    <t>Décès suite à un accident de travail
Décès suite à un accident lié au conflit armé (conflit / violence)
Décès suite à un accident de la route (accident de voiture, moto, bus, etc.)
Décès suite à une catastrophe naturelle (inondation, éboulements de terrain, incendie, etc.) 
Décès suite à une morsure / piqûre animale / attaque animale ( Paludisme / Rage)
Décès suite à une maladie (diarrhée, liquide ou sanglante)
Décès suite à une maladie (autre)
Décès suite à un manque de nourriture (Famine / Malnutrition)
Causes naturelles de décès (ex. âge) 
Autre</t>
  </si>
  <si>
    <t>Parmi les articles suivants, quels sont ceux que vous possédez dans votre ménage ? Pourriez-vous me les montrer ?</t>
  </si>
  <si>
    <t>Au cours des 7 derniers jours, est-ce que quelqu’un dans votre ménage a dû faire l’une des choses suivantes parce que vous n’avez pas assez de ressources pour subvenir à vos besoins de bases ?</t>
  </si>
  <si>
    <t>% de ménages par type d'abri</t>
  </si>
  <si>
    <t xml:space="preserve">Dans quel type d'abri vivez-vous actuellement ? </t>
  </si>
  <si>
    <t>% de déplacés par durée de déplacement</t>
  </si>
  <si>
    <t>% de déplacés en site par condition de retour</t>
  </si>
  <si>
    <t>% de ménages ayant accès à une source d'eau améliorée au cours des 7 derniers jours pour les autres usages (Cuisine, vaisselle, lessive, jardininage)</t>
  </si>
  <si>
    <t>Au cours des 7 derniers jours, quelle est ou quelles sont les sources d'eau principales que votre ménage a utilisé pour boire</t>
  </si>
  <si>
    <t>Oui
Non
Je ne sais pas / préfère ne pas répondre</t>
  </si>
  <si>
    <t>Oui
Non
Si oui Nombre de ménages et nombre de personnes</t>
  </si>
  <si>
    <t>% de ménages utilisant des latrines communautaires séparées par sexe</t>
  </si>
  <si>
    <t>% de ménages ayant des problèmes liés aux infrastructures sanitaires, par type de problème</t>
  </si>
  <si>
    <t>Globalement, votre accès actuel aux installations sanitaires est-il suffisant pour répondre aux besoins essentiels des membres de votre ménage ?</t>
  </si>
  <si>
    <t>% de ménages ayant des problèmes liés aux infrastructures sanitaires</t>
  </si>
  <si>
    <t>Plus que suffisant 
Suffisant
Juste assez suffisant
Insuffisant 
Pas suffisant du tout</t>
  </si>
  <si>
    <t>% de ménages se lavant actuellement les mains avec du savon ou de la cendre pendant les moments clé de la journée (au moins 3 moments)</t>
  </si>
  <si>
    <t>% de ménages se lavant actuellement les mains, par moment clé de la journée (au moins 3 moments)</t>
  </si>
  <si>
    <t>Au cours de la journée d’hier, à quels moments vous êtes-vous lavé les mains ?</t>
  </si>
  <si>
    <t>Au cours de la journée d’hier, par quels moyens vous lavez-vous les mains pendant les moments clés ?</t>
  </si>
  <si>
    <t>% de ménages ayant accès à une source d'eau améliorée au cours des 7 derniers jours pour boire</t>
  </si>
  <si>
    <t>Au cours des 7 derniers jours, quelle est ou quelles sont les sources d'eau principales  que votre ménage a utilisé pour les autres usages (pour cuisiner, pour des raisons hygiéniques, pour se laver ou laver)?</t>
  </si>
  <si>
    <t>1. Eau du robinet / fontaine publique
2. Forage mécanique
3. Forage manuel
4. Puits protégé
5. Puits NON protégé
6. Bouteilles d'eau / sachets d'eau
7. Eau amenée par camion
8. Source aménagée
9. Source NON aménagée
10. Eau de pluie
11. Cours d'eau (fleuve, rivière, ruisseau, eau de surface, etc.), lac / étang / mare ou Flaque / Eau stagnante
12. Autre (merci de préciser) 
13. Je ne sais pas / préfère ne pas répondre</t>
  </si>
  <si>
    <t>Homme
Femme</t>
  </si>
  <si>
    <t>Age de l'enqueté</t>
  </si>
  <si>
    <t>Quel est l'age de l'enqueté?</t>
  </si>
  <si>
    <t>Chiffre (enqueté doit etre un adulte +1</t>
  </si>
  <si>
    <t>Quel est le sexe de l'enqueté?</t>
  </si>
  <si>
    <t>Sexe de l'enqueté</t>
  </si>
  <si>
    <t>Si vous n'etes pas le chef de ménage, le chef de ménage est-il un homme ou une femme?</t>
  </si>
  <si>
    <t>Sexe du chef de ménage</t>
  </si>
  <si>
    <t>Rôle de l'enquêté</t>
  </si>
  <si>
    <t>Age du chef de ménage</t>
  </si>
  <si>
    <t xml:space="preserve">Si pas le chef du ménage : 
Quel est l'âge du chef du ménage? </t>
  </si>
  <si>
    <t>Composition du ménage</t>
  </si>
  <si>
    <t>% de ménages dans lesquels les adultes se préoccupent pour la sécurité de leurs enfants (moins de 18 ans), par raison</t>
  </si>
  <si>
    <t>% de ménages ayant un accès équitable et non-discriminatoire aux différents services essentielles de base (accès à l'eau, à la santé, à l'éducation, à la justice)</t>
  </si>
  <si>
    <t>Moins de 1 mois
Entre 1 et 3 mois
Entre 3 et 5 mois
Entre 5 mois e 1 ans
Plus de 1 an
Je ne sais pas / préfère ne pas répondre</t>
  </si>
  <si>
    <t>Propre production (jardin)
Achats (marché, boutique) 
Emprunt, (crédit  de la boutique) 
Dons d’amis/de voisins/parents 
Chasse/cueillette/pêche/collecte
Echanges d’aliments contre du travail ou biens 
Aides alimentaires de la société civile, d’ONG, du gouvernement, du PAM, etc.</t>
  </si>
  <si>
    <t>Oui ; Si oui, combien de fois est-ce arrivé au cours des 30 derniers jours ? Rarement (1 à 2 fois); Parfois (3 à 10 fois); Souvent (plus que 10 fois)
Non
Je ne sais pas / préfère ne pas répondre</t>
  </si>
  <si>
    <t>Oui
Non
Je ne sais pas / préfère ne pas répondre
Si non, pourquoi ? (3 raisons principale) 
Pas d’accès à la terre / Parcelle trop loin / Manque de terre
Insécurité lors de la culture ou la récolte
Manque de semences / outils 
Manque / Insuffisance de main d’œuvre 
Sols trop pauvres
Manque / Insuffisance de pluie  
Inondation                    
Jamais cultivé / Autres sources de revenu 
Manque de moyens financiers
Autre (à préciser) : _______________</t>
  </si>
  <si>
    <t xml:space="preserve">Après la toilette ou la latrine
Après le nettoyage ou changement des couches de l’enfant
Avant de préparer les aliments
Avant de manger
Avant de donner le sein à l’enfant
Au retour des champs
Autres (Ablution, après manger…)
Je ne sais pas ou je ne souhaite pas répondre </t>
  </si>
  <si>
    <t xml:space="preserve">Avec de l'eau simple
Avec du savon
Avec de la cendre
Je ne sais pas ou je ne souhaite pas répondre </t>
  </si>
  <si>
    <t>Sécurité Alimentaire / MSSC</t>
  </si>
  <si>
    <t>SecAl_MSSC</t>
  </si>
  <si>
    <t xml:space="preserve">Nombre moyen de personnes hébergées par ménage par âge  [Adulte (&gt;= 18 ans)  ; Enfants (6- 17 ans) ; Enfants (moins de 5 ans)] et genre </t>
  </si>
  <si>
    <t>Pilier</t>
  </si>
  <si>
    <t>De l'enquêteur</t>
  </si>
  <si>
    <t>I. Pre-existing vulnerabilities</t>
  </si>
  <si>
    <t>II. Impact</t>
  </si>
  <si>
    <t xml:space="preserve">II. Impact </t>
  </si>
  <si>
    <t>I. Pre-existing vulnerabilities &amp; III. Humanitarian conditions – People with living standard gaps- EDUCATION</t>
  </si>
  <si>
    <t>III. Humanitarian conditions – People with living standard gaps- NUTRITION</t>
  </si>
  <si>
    <t>III. Humanitarian conditions – People with living standard gaps EDUCATION</t>
  </si>
  <si>
    <t xml:space="preserve">III. Humanitarian conditions – People with living standard gaps EDUCATION </t>
  </si>
  <si>
    <t>III. Humanitarian conditions – People with living standard gaps- HEALTH</t>
  </si>
  <si>
    <t>II. Impact &amp; III. Humanitarian conditions – People with living standard gaps- HEALTH</t>
  </si>
  <si>
    <t>III. Humanitarian conditions – People with living standard gaps HEALTH</t>
  </si>
  <si>
    <t>III. Humanitarian conditions – People with living standard gaps SHELTER_NFI</t>
  </si>
  <si>
    <t>II. Impact &amp; III. Humanitarian conditions – People with living standard gaps SHELTER_NFI</t>
  </si>
  <si>
    <t>III. Humanitarian conditions – People with living standard gaps PROTECTION</t>
  </si>
  <si>
    <t>II. Imact &amp; III. Humanitarian conditions – People with living standard gaps- WASH</t>
  </si>
  <si>
    <t>III. Humanitarian conditions – People with living standard gaps- WASH</t>
  </si>
  <si>
    <t>III. Humanitarian conditions – People with living standard gaps FoodSec</t>
  </si>
  <si>
    <t>I. Pre-existing vulnerabilities &amp; III. Humanitarian conditions – People with living standard gaps FoodSec</t>
  </si>
  <si>
    <t>I. Pre-existing vulnerabilities &amp; III. Humanitarian conditions – People with living standard gaps- Livelihood</t>
  </si>
  <si>
    <t>I. Pre-existing vulnerabilities &amp; IV. Humanitarian conditions – Item repository check-list</t>
  </si>
  <si>
    <t>V. Capacity gaps and negative coping mechanisms</t>
  </si>
  <si>
    <t>VI. Accountability to affected population groups</t>
  </si>
  <si>
    <t>Mon enfant ne va pas à l’école mais ce n’est pas en raison de son handicap
Mon enfant ne va pas à l’école car l’accès à l’école est impossible dû à son handicap (route inadaptée, transport impossible, …)
Mon enfant ne va pas à l’école car l’enseignement n’est pas adapté (absence d’équipements aménagés et/ou de matériel pédagogiques adaptés)
Mon enfant s’adapte aux conditions de l’école mais la situation n’est pas optimale vis-à-vis de son handicap (manque d’équipements aménagés et/ou de matériel pédagogiques adaptés)
Mon enfant est parfaitement à l’aise avec les conditions de l’école
Autre situation (merci de préciser)</t>
  </si>
  <si>
    <t>% de ménages n'ayant pas un accès suffisant aux infrastructure de santé, par type de support de santé souhaité</t>
  </si>
  <si>
    <t>Seuil de sévérité</t>
  </si>
  <si>
    <t>&lt; 1</t>
  </si>
  <si>
    <t>&lt; 2</t>
  </si>
  <si>
    <t>&lt; 3</t>
  </si>
  <si>
    <t>&lt; 3.9</t>
  </si>
  <si>
    <t>&gt;= 3.9</t>
  </si>
  <si>
    <t>&lt; 4</t>
  </si>
  <si>
    <t>&lt; 8</t>
  </si>
  <si>
    <t>&lt; 12</t>
  </si>
  <si>
    <t>&lt; 16</t>
  </si>
  <si>
    <t>&gt;= 16</t>
  </si>
  <si>
    <t>&lt; 3.5 m2 / pp</t>
  </si>
  <si>
    <t>&lt; 5 m2 / pp</t>
  </si>
  <si>
    <t>&lt; 6.5 m2 / pp</t>
  </si>
  <si>
    <t>&lt; 8 m2 / pp</t>
  </si>
  <si>
    <t>&gt;= 9 m2 / pp</t>
  </si>
  <si>
    <t>Analysis and recoding. This question is processed using the borda count approach, a single winner election method in which voters rank items in order of preference .
1. The option selected as the first most important reason is coded as “3”, the second most important is coded as “2” and the third most important problem as “1”. All other options should be coded “0”. 
2. Processing ranking questions implies calculating a priority score for each response item. The calculation method for the score at the geographical area level is:
= SUM (value) / COUNTD (location ID)
3. This will return a priority score ranging from “0” (it was never mentioned as one of the main reasons) up to 3 (all households mentioned this response items as the first reason). To ease the understanding, it is recommended to produce a heat table where each cell background colour is proportional to the mean board count and where the darkest colour show the highest priority score. Barriers can subsequently be recategorized as access, availability, quality, use or awareness issues.</t>
  </si>
  <si>
    <t>Accouchements au centre de santé</t>
  </si>
  <si>
    <t>Accouchement à la maison volontaire (assisté)</t>
  </si>
  <si>
    <t>Accouchement à la maison volontaire (CS non souhaité)</t>
  </si>
  <si>
    <t>Aucun décès ou décès via une cause naturelle</t>
  </si>
  <si>
    <t>5% - 9% A surveiller</t>
  </si>
  <si>
    <t>10% - 14% Serieux</t>
  </si>
  <si>
    <t>Tous les aliments consommés proviennent de sources durables (propre prod ; Achats ; Chasse ; Troc)</t>
  </si>
  <si>
    <t>Tous les aliments consommés proviennent de sources non-durables (Emprunt ; Dons ; Aide)</t>
  </si>
  <si>
    <t>La majorité des aliments consommés (&gt; 75%) proviennent de sources durables (propre prod ; Achats ; Chasse ; Troc)</t>
  </si>
  <si>
    <t>Plus de la moitié des aliments consommés (&gt; 50%) proviennent de sources durables (propre prod ; Achats ; Chasse ; Troc)</t>
  </si>
  <si>
    <t>Seule la moitié ou moins des aliments consommés (&lt;= 50%) proviennent de sources durables (propre prod ; Achats ; Chasse ; Troc)</t>
  </si>
  <si>
    <t>Accès à un marché approvisionné en bien alimentaire uniquement</t>
  </si>
  <si>
    <t>Accès à un marché fonctionnel, accessible et à prix abordable</t>
  </si>
  <si>
    <t>Accès à un marché approvisionné en bien non-alimentaire uniquement</t>
  </si>
  <si>
    <t>N'a pas accès à un marché fonctionnelle (à prix abordables,accessible et approvisionné)</t>
  </si>
  <si>
    <t>Au moins 1 enfant de moins de 5 ans dépisté MAS</t>
  </si>
  <si>
    <t>Aucun enfant dépisté MAS</t>
  </si>
  <si>
    <t>Aucun enfant dépisté MAM</t>
  </si>
  <si>
    <t>Au moins 1 enfant de moins de 5 ans dépisté MAM</t>
  </si>
  <si>
    <t>Peut pratiqué l'agriculture OU n'a jamais cultivé / autres sources de revenu</t>
  </si>
  <si>
    <t>N'a pas pu pratiqué l'agriculutre à cause de : 
- pas d'accès à la terre / parcelle trop loin / manque de terre</t>
  </si>
  <si>
    <t>N'a pas pu pratiqué l'agriculutre à cause de : 
- insécurité lors de la culture ou récolte</t>
  </si>
  <si>
    <t>Aucun membre dans le ménage n'a été forcé de travailler, forcé d’accepter un emploi ou forcé de rester dans un emploi contre son gré</t>
  </si>
  <si>
    <t>Tous les enfants de moins de 18 ans vivent au sein du ménage OU des enfants sont partis pour étudier</t>
  </si>
  <si>
    <t>Au moins un enfant de moins de 18 ans est parti du ménage pour chercher du travail / pour travailler</t>
  </si>
  <si>
    <t>Au moins un enfant de moins de 18 ans est parti du ménage pour se marrier</t>
  </si>
  <si>
    <t>Au moins un enfant de moins de 18 ans est parti du ménage pour s'engager avec l'armée ou un GA, a disparu ou est détenu / a été enlevé</t>
  </si>
  <si>
    <t>Aucun enfant de moins de 18 ans travaillent  ou contribuent aux activités professionnelles du ménage</t>
  </si>
  <si>
    <t>N'a pas pu pratiqué l'agricultre à cause de : 
- manque de semences / d'outils
- manque de mains d'oeuvre
- manque de moyens financiers
- causes naturelles (sols pauvres, manque de pluie, inodations)</t>
  </si>
  <si>
    <t>Au moins un décès lié à une cause non naturelle</t>
  </si>
  <si>
    <t>Aucun
Moins de 50 000 XAF
Entre 50 001 et 100 000 XAF
Entre 100 001 et  150 000 XAF
Entre 150 001 et 200 000 XAF
Entre 200001 et 300 000 XAF
Entre 300 001 et 500 000 XAF
Plus de 500 001 XAF
Je ne sais pas / préfère ne pas répondre</t>
  </si>
  <si>
    <r>
      <rPr>
        <b/>
        <i/>
        <sz val="10"/>
        <color theme="1" tint="0.499984740745262"/>
        <rFont val="Arial Narrow"/>
        <family val="2"/>
      </rPr>
      <t xml:space="preserve">Population hôte </t>
    </r>
    <r>
      <rPr>
        <i/>
        <sz val="10"/>
        <color theme="1" tint="0.499984740745262"/>
        <rFont val="Arial Narrow"/>
        <family val="2"/>
      </rPr>
      <t xml:space="preserve">– toutes les personnes qui, le temps de l’enquête, ne sont pas dans une situation de déplacement (inclus le retour) en raison de la crise
</t>
    </r>
    <r>
      <rPr>
        <b/>
        <i/>
        <sz val="10"/>
        <color theme="1" tint="0.499984740745262"/>
        <rFont val="Arial Narrow"/>
        <family val="2"/>
      </rPr>
      <t xml:space="preserve">Population déplacée en site et lieux de regroupement </t>
    </r>
    <r>
      <rPr>
        <i/>
        <sz val="10"/>
        <color theme="1" tint="0.499984740745262"/>
        <rFont val="Arial Narrow"/>
        <family val="2"/>
      </rPr>
      <t xml:space="preserve">– toutes les personnes qui ont été déplacées en raison de la crise et qui résident actuellement dans les sites et autres lieux de regroupement
</t>
    </r>
    <r>
      <rPr>
        <b/>
        <i/>
        <sz val="10"/>
        <color theme="1" tint="0.499984740745262"/>
        <rFont val="Arial Narrow"/>
        <family val="2"/>
      </rPr>
      <t xml:space="preserve">Population déplacée en famille d’accueil </t>
    </r>
    <r>
      <rPr>
        <i/>
        <sz val="10"/>
        <color theme="1" tint="0.499984740745262"/>
        <rFont val="Arial Narrow"/>
        <family val="2"/>
      </rPr>
      <t xml:space="preserve">– toutes les personnes qui ont été déplacées en raison de la crise et qui résident aujourd’hui en famille d’accueil
</t>
    </r>
    <r>
      <rPr>
        <b/>
        <i/>
        <sz val="10"/>
        <color theme="1" tint="0.499984740745262"/>
        <rFont val="Arial Narrow"/>
        <family val="2"/>
      </rPr>
      <t>Population retournée</t>
    </r>
    <r>
      <rPr>
        <i/>
        <sz val="10"/>
        <color theme="1" tint="0.499984740745262"/>
        <rFont val="Arial Narrow"/>
        <family val="2"/>
      </rPr>
      <t xml:space="preserve"> – toutes les personnes qui sont retournées dans leurs zone d’origine, cela ne signifie pas nécessairement qu’elles ont rejoint / retrouvée leurs maisons d’origine, ni qu’elles sont exactement dans la même localité (certaines ayant brulé, des retournés ont reconstruits des villages à proximité immédiate de leurs anciens lieux d’habitat)
</t>
    </r>
    <r>
      <rPr>
        <b/>
        <i/>
        <sz val="10"/>
        <color theme="1" tint="0.499984740745262"/>
        <rFont val="Arial Narrow"/>
        <family val="2"/>
      </rPr>
      <t xml:space="preserve">Population rapatriée </t>
    </r>
    <r>
      <rPr>
        <i/>
        <sz val="10"/>
        <color theme="1" tint="0.499984740745262"/>
        <rFont val="Arial Narrow"/>
        <family val="2"/>
      </rPr>
      <t>– toutes les populations qui sont retournées chez elles, ou sont en cours de retours après avoir passée plusieurs semaines dans un pays étranger. Pour être qualifié de retournée, il y a un nécessaire franchissement de frontières, entre un pays étranger vers la République Centrafricaine. Le retour peut ne pas être définitif</t>
    </r>
  </si>
  <si>
    <t>% de ménages dont au moins un enfant de moins de 5 ans a présenté une fièvre, une diarrhée et / ou une toux au cours de 30 derniers jours (par genre)</t>
  </si>
  <si>
    <t>Nom de l'enquêteur</t>
  </si>
  <si>
    <t>Date de l'enquête</t>
  </si>
  <si>
    <t>Oui
Non. Si non : fin de l'enquête</t>
  </si>
  <si>
    <t>Dans quelle préfecture l'enquête est-elle réalisée ?</t>
  </si>
  <si>
    <t>Dans quelle sous-préfecture l'enquête est-elle réalisée ?</t>
  </si>
  <si>
    <t>Dans quelle commune l'enquête est-elle réalisée ?</t>
  </si>
  <si>
    <t xml:space="preserve">Quel est le nom de la localité ? </t>
  </si>
  <si>
    <t>Liste admin 1</t>
  </si>
  <si>
    <t>Liste admin 2 dans admin 1</t>
  </si>
  <si>
    <t>Liste admin 3 dans admin 2</t>
  </si>
  <si>
    <t>Entrer le nom de la localité</t>
  </si>
  <si>
    <t>50% à 65% des dépenses consacrées à la nourriture</t>
  </si>
  <si>
    <t>65% à 75% des dépenses consacrées à la nourriture</t>
  </si>
  <si>
    <t>75% ou plus des dépenses consacrées à la nourriture</t>
  </si>
  <si>
    <t>Entre 30% et 50% des dépenses consacrées à la nourriture</t>
  </si>
  <si>
    <t>Moins de 30% des dépenses consacrées à la nourriture</t>
  </si>
  <si>
    <t>Acceptable &gt; 35</t>
  </si>
  <si>
    <t>Borderline 21.5 - 35</t>
  </si>
  <si>
    <t>Poor 0 - 21</t>
  </si>
  <si>
    <t xml:space="preserve">% de ménages dont les adultes (18 ans ou plus) ont souffert d'une maladie au cours des 2 dernières semaines (par genre et 5-17 ans vs 18+) </t>
  </si>
  <si>
    <t>Cash :
☐ De l'argent pour payer les frais médicaux
Provision direct de biens:
☐ Provision direct de médicaments
☐ Provision direct de vaccins
Provision de services
☐ Avoir accès à des transports jusqu'aux installations de santé
☐ Avoir accès à davantage de travailleurs de la santé qualifiés dans les établissements
☐ Avoir accès à un personnel de santé plus qualifié pour les visites à domicile
☐ Avoir accès à des visites à domicile pour les vaccinations
☐ Avoir plus d'accès pour les personnes handicapées physiques/mentales
☐ Avoir plus de services pour les femmes enceintes ou allaitantes
☐ Avoir plus d'établissements de soins de santé
☐ Avoir plus détablissements de soins de santé à proximité
☐ Autres (merci de préciser)</t>
  </si>
  <si>
    <t>IG_1</t>
  </si>
  <si>
    <t>IG_2</t>
  </si>
  <si>
    <t>IG_3</t>
  </si>
  <si>
    <t>IG_4</t>
  </si>
  <si>
    <t>IG_5</t>
  </si>
  <si>
    <t>IG_6</t>
  </si>
  <si>
    <t>IG_7</t>
  </si>
  <si>
    <t>IG_8</t>
  </si>
  <si>
    <t>IG_9</t>
  </si>
  <si>
    <t>IG_10</t>
  </si>
  <si>
    <t>IG_11</t>
  </si>
  <si>
    <t>IG_12</t>
  </si>
  <si>
    <t>IG_14</t>
  </si>
  <si>
    <t>IG_15</t>
  </si>
  <si>
    <t>IG_16</t>
  </si>
  <si>
    <t>IG_17</t>
  </si>
  <si>
    <t>IL_1</t>
  </si>
  <si>
    <t>NFI_1</t>
  </si>
  <si>
    <t>NFI_2</t>
  </si>
  <si>
    <t>NFI_4</t>
  </si>
  <si>
    <t>NFI_5</t>
  </si>
  <si>
    <t>NFI_7</t>
  </si>
  <si>
    <t>MSSC_1</t>
  </si>
  <si>
    <t>MSSC_2</t>
  </si>
  <si>
    <t>MSSC_3</t>
  </si>
  <si>
    <t>MSSC_4</t>
  </si>
  <si>
    <t>SecAl_1</t>
  </si>
  <si>
    <t>SecAl_2</t>
  </si>
  <si>
    <t>SecAl_3</t>
  </si>
  <si>
    <t>SecAl_4</t>
  </si>
  <si>
    <t>SecAl_5</t>
  </si>
  <si>
    <t>SecAl_6</t>
  </si>
  <si>
    <t>SecAl_MSSC_1</t>
  </si>
  <si>
    <t>WASH_1</t>
  </si>
  <si>
    <t>WASH_2</t>
  </si>
  <si>
    <t>WASH_4</t>
  </si>
  <si>
    <t>WASH_5</t>
  </si>
  <si>
    <t>WASH_9</t>
  </si>
  <si>
    <t>WASH_10</t>
  </si>
  <si>
    <t>WASH_11</t>
  </si>
  <si>
    <t>WASH_12</t>
  </si>
  <si>
    <t>WASH_13</t>
  </si>
  <si>
    <t>WASH_14</t>
  </si>
  <si>
    <t>WASH_15</t>
  </si>
  <si>
    <t>WASH_18</t>
  </si>
  <si>
    <t>WASH_19</t>
  </si>
  <si>
    <t>WASH_20</t>
  </si>
  <si>
    <t>WASH_21</t>
  </si>
  <si>
    <t>WASH_22</t>
  </si>
  <si>
    <t>Sante_1</t>
  </si>
  <si>
    <t>Sante_2</t>
  </si>
  <si>
    <t>Sante_3</t>
  </si>
  <si>
    <t>Sante_4</t>
  </si>
  <si>
    <t>Sante_5</t>
  </si>
  <si>
    <t>Sante_6</t>
  </si>
  <si>
    <t>Nut_1</t>
  </si>
  <si>
    <t>Nut_2</t>
  </si>
  <si>
    <t>Sante_9</t>
  </si>
  <si>
    <t>Educ_2</t>
  </si>
  <si>
    <t>Educ_3</t>
  </si>
  <si>
    <t>Educ_4</t>
  </si>
  <si>
    <t>Educ_5</t>
  </si>
  <si>
    <t>Educ_6</t>
  </si>
  <si>
    <t>Protec_2</t>
  </si>
  <si>
    <t>Protec_3</t>
  </si>
  <si>
    <t>Protec_4</t>
  </si>
  <si>
    <t>Protec_5</t>
  </si>
  <si>
    <t>Protec_8</t>
  </si>
  <si>
    <t>Protec_9</t>
  </si>
  <si>
    <t>Protec_10</t>
  </si>
  <si>
    <t>Protec_12</t>
  </si>
  <si>
    <t>Protec_13</t>
  </si>
  <si>
    <t>AAP_1</t>
  </si>
  <si>
    <t>AAP_2</t>
  </si>
  <si>
    <t>AAP_3</t>
  </si>
  <si>
    <t>AAP_4</t>
  </si>
  <si>
    <t>Quelles seraient les conditions requises pour envisager un retour dans votre localité d'origine ? (Merci de sélectionner au maximum 3 réponses)</t>
  </si>
  <si>
    <t>Liste de réponses</t>
  </si>
  <si>
    <t xml:space="preserve">Pour chaque personne dans le ménage : 
Quel est l'âge de cette personne ? </t>
  </si>
  <si>
    <t>Age en année ; si moins de 1 ans, âge en mois.</t>
  </si>
  <si>
    <t>IG_age</t>
  </si>
  <si>
    <t>IG_sexe</t>
  </si>
  <si>
    <t xml:space="preserve">Pour chaque personne dans le ménage : 
Quel est le genre de cette personne ? </t>
  </si>
  <si>
    <t xml:space="preserve">Pour chaque personne dans le ménage : 
Est-ce que cette peronne est dans une des situations suivantes ? </t>
  </si>
  <si>
    <t>NFI_+</t>
  </si>
  <si>
    <t>% de ménages par type de propriété</t>
  </si>
  <si>
    <r>
      <rPr>
        <b/>
        <i/>
        <sz val="10"/>
        <color theme="1" tint="0.499984740745262"/>
        <rFont val="Arial Narrow"/>
        <family val="2"/>
      </rPr>
      <t xml:space="preserve">Céréales, Racines, tubercules </t>
    </r>
    <r>
      <rPr>
        <i/>
        <sz val="10"/>
        <color theme="1" tint="0.499984740745262"/>
        <rFont val="Arial Narrow"/>
        <family val="2"/>
      </rPr>
      <t xml:space="preserve"> (sorgho, mil, maïs, blé, riz, pain/galette, beignets, farine, pâtes alimentaire, manioc, pomme de terre, patates douces, ignames, et autres tubercules) </t>
    </r>
    <r>
      <rPr>
        <i/>
        <sz val="10"/>
        <color rgb="FFFF0000"/>
        <rFont val="Arial Narrow"/>
        <family val="2"/>
      </rPr>
      <t>(x2)</t>
    </r>
    <r>
      <rPr>
        <i/>
        <sz val="10"/>
        <color theme="1" tint="0.499984740745262"/>
        <rFont val="Arial Narrow"/>
        <family val="2"/>
      </rPr>
      <t xml:space="preserve">
</t>
    </r>
    <r>
      <rPr>
        <b/>
        <i/>
        <sz val="10"/>
        <color theme="1" tint="0.499984740745262"/>
        <rFont val="Arial Narrow"/>
        <family val="2"/>
      </rPr>
      <t>Légumineuses / noix</t>
    </r>
    <r>
      <rPr>
        <i/>
        <sz val="10"/>
        <color theme="1" tint="0.499984740745262"/>
        <rFont val="Arial Narrow"/>
        <family val="2"/>
      </rPr>
      <t xml:space="preserve"> (haricots, arachides, lentilles, amande, et/ou autre noix)</t>
    </r>
    <r>
      <rPr>
        <i/>
        <sz val="10"/>
        <color rgb="FFFF0000"/>
        <rFont val="Arial Narrow"/>
        <family val="2"/>
      </rPr>
      <t xml:space="preserve"> (x3)
</t>
    </r>
    <r>
      <rPr>
        <b/>
        <i/>
        <sz val="10"/>
        <color theme="1" tint="0.499984740745262"/>
        <rFont val="Arial Narrow"/>
        <family val="2"/>
      </rPr>
      <t>Lait et autres produits laitiers</t>
    </r>
    <r>
      <rPr>
        <i/>
        <sz val="10"/>
        <color theme="1" tint="0.499984740745262"/>
        <rFont val="Arial Narrow"/>
        <family val="2"/>
      </rPr>
      <t xml:space="preserve"> (Lait frais / aigri, yaourt, fromage, autre produits laitiers SAUF margarine / beurre ou de petites quantités de lait pour le thé / café (Lait en poudre : seulement si des verres de lait en poudre sont consommés)) </t>
    </r>
    <r>
      <rPr>
        <i/>
        <sz val="10"/>
        <color rgb="FFFF0000"/>
        <rFont val="Arial Narrow"/>
        <family val="2"/>
      </rPr>
      <t xml:space="preserve"> (x4)</t>
    </r>
    <r>
      <rPr>
        <i/>
        <sz val="10"/>
        <color theme="1" tint="0.499984740745262"/>
        <rFont val="Arial Narrow"/>
        <family val="2"/>
      </rPr>
      <t xml:space="preserve">
</t>
    </r>
    <r>
      <rPr>
        <b/>
        <i/>
        <sz val="10"/>
        <color theme="1" tint="0.499984740745262"/>
        <rFont val="Arial Narrow"/>
        <family val="2"/>
      </rPr>
      <t xml:space="preserve">Viande, Poisson, Œufs </t>
    </r>
    <r>
      <rPr>
        <i/>
        <sz val="10"/>
        <color theme="1" tint="0.499984740745262"/>
        <rFont val="Arial Narrow"/>
        <family val="2"/>
      </rPr>
      <t xml:space="preserve">(chèvres, mouton, bœuf, poulets, fruits de mer, thon en boite, chenilles, termites, etc.) </t>
    </r>
    <r>
      <rPr>
        <i/>
        <sz val="10"/>
        <color rgb="FFFF0000"/>
        <rFont val="Arial Narrow"/>
        <family val="2"/>
      </rPr>
      <t>(x4)</t>
    </r>
    <r>
      <rPr>
        <i/>
        <sz val="10"/>
        <color theme="1" tint="0.499984740745262"/>
        <rFont val="Arial Narrow"/>
        <family val="2"/>
      </rPr>
      <t xml:space="preserve">
</t>
    </r>
    <r>
      <rPr>
        <b/>
        <i/>
        <sz val="10"/>
        <color theme="1" tint="0.499984740745262"/>
        <rFont val="Arial Narrow"/>
        <family val="2"/>
      </rPr>
      <t>Légumes et feuilles vertes</t>
    </r>
    <r>
      <rPr>
        <i/>
        <sz val="10"/>
        <color theme="1" tint="0.499984740745262"/>
        <rFont val="Arial Narrow"/>
        <family val="2"/>
      </rPr>
      <t xml:space="preserve"> (carotte, poivron rouge, citrouille,  oignon, tomates, concombre, haricot vert, petit pois, champignon, etc.) </t>
    </r>
    <r>
      <rPr>
        <i/>
        <sz val="10"/>
        <color rgb="FFFF0000"/>
        <rFont val="Arial Narrow"/>
        <family val="2"/>
      </rPr>
      <t>(x1)</t>
    </r>
    <r>
      <rPr>
        <i/>
        <sz val="10"/>
        <color theme="1" tint="0.499984740745262"/>
        <rFont val="Arial Narrow"/>
        <family val="2"/>
      </rPr>
      <t xml:space="preserve">
</t>
    </r>
    <r>
      <rPr>
        <b/>
        <i/>
        <sz val="10"/>
        <color theme="1" tint="0.499984740745262"/>
        <rFont val="Arial Narrow"/>
        <family val="2"/>
      </rPr>
      <t>Fruits</t>
    </r>
    <r>
      <rPr>
        <i/>
        <sz val="10"/>
        <color theme="1" tint="0.499984740745262"/>
        <rFont val="Arial Narrow"/>
        <family val="2"/>
      </rPr>
      <t xml:space="preserve"> (mangue, papaye, banane, pomme, citron, mandarine, orange, goyave, etc.)</t>
    </r>
    <r>
      <rPr>
        <i/>
        <sz val="10"/>
        <color rgb="FFFF0000"/>
        <rFont val="Arial Narrow"/>
        <family val="2"/>
      </rPr>
      <t xml:space="preserve"> (x1)  </t>
    </r>
    <r>
      <rPr>
        <i/>
        <sz val="10"/>
        <color theme="1" tint="0.499984740745262"/>
        <rFont val="Arial Narrow"/>
        <family val="2"/>
      </rPr>
      <t xml:space="preserve"> 
</t>
    </r>
    <r>
      <rPr>
        <b/>
        <i/>
        <sz val="10"/>
        <color theme="1" tint="0.499984740745262"/>
        <rFont val="Arial Narrow"/>
        <family val="2"/>
      </rPr>
      <t>Huile / gras / beurre</t>
    </r>
    <r>
      <rPr>
        <i/>
        <sz val="10"/>
        <color theme="1" tint="0.499984740745262"/>
        <rFont val="Arial Narrow"/>
        <family val="2"/>
      </rPr>
      <t xml:space="preserve"> (huile de cuisson, beurre de karité, margarine, autres gras/huile) </t>
    </r>
    <r>
      <rPr>
        <i/>
        <sz val="10"/>
        <color rgb="FFFF0000"/>
        <rFont val="Arial Narrow"/>
        <family val="2"/>
      </rPr>
      <t>(x0.5)</t>
    </r>
    <r>
      <rPr>
        <i/>
        <sz val="10"/>
        <color theme="1" tint="0.499984740745262"/>
        <rFont val="Arial Narrow"/>
        <family val="2"/>
      </rPr>
      <t xml:space="preserve">
</t>
    </r>
    <r>
      <rPr>
        <b/>
        <i/>
        <sz val="10"/>
        <color theme="1" tint="0.499984740745262"/>
        <rFont val="Arial Narrow"/>
        <family val="2"/>
      </rPr>
      <t>Sucre ou produits sucré</t>
    </r>
    <r>
      <rPr>
        <i/>
        <sz val="10"/>
        <color theme="1" tint="0.499984740745262"/>
        <rFont val="Arial Narrow"/>
        <family val="2"/>
      </rPr>
      <t xml:space="preserve"> (miel, confiture, beignets, bonbons, biscuits, pâtisseries, gâteaux et autre produits sucré)</t>
    </r>
    <r>
      <rPr>
        <i/>
        <sz val="10"/>
        <color rgb="FFFF0000"/>
        <rFont val="Arial Narrow"/>
        <family val="2"/>
      </rPr>
      <t xml:space="preserve"> (x0.5)</t>
    </r>
    <r>
      <rPr>
        <i/>
        <sz val="10"/>
        <color theme="1" tint="0.499984740745262"/>
        <rFont val="Arial Narrow"/>
        <family val="2"/>
      </rPr>
      <t xml:space="preserve">
</t>
    </r>
    <r>
      <rPr>
        <b/>
        <i/>
        <sz val="10"/>
        <color theme="1" tint="0.499984740745262"/>
        <rFont val="Arial Narrow"/>
        <family val="2"/>
      </rPr>
      <t>Epices / condiments</t>
    </r>
    <r>
      <rPr>
        <i/>
        <sz val="10"/>
        <color theme="1" tint="0.499984740745262"/>
        <rFont val="Arial Narrow"/>
        <family val="2"/>
      </rPr>
      <t xml:space="preserve"> (thé, café/cacao, sel, ail, épices, levure/poudre à pâte, tomate/sauce piquante, autres condiments y compris petite quantité de lait pour le thé/café) </t>
    </r>
    <r>
      <rPr>
        <i/>
        <sz val="10"/>
        <color rgb="FFFF0000"/>
        <rFont val="Arial Narrow"/>
        <family val="2"/>
      </rPr>
      <t>(x0)</t>
    </r>
  </si>
  <si>
    <t xml:space="preserve">Il n'y a pas assez de latrines ou trop de monde utilisant les mêmes infrastructures
Les infrastructures sanitaires (latrines ou toilettes) ne fonctionnent pas ou sont pleines
Les infrastructures sanitaires (latrines ou toilettes) ne sont pas propres / pas hygiéniques
Les infrastructures sanitaires (latrines ou toilettes) ne sont pas séparées par genre
Les infrastructures sanitaires (latrines ou toilettes) sont trop éloignées
Les infrastructures sanitaires (latrines ou toilettes) sont difficile d'accès (chemin en mauvais état)
Aller jusqu'aux infrastructures sanitaires (latrines ou toilettes) est dangereux
Certains groupes (enfants, femmes, personnes âgées, minorités ethniques) n’ont pas accès aux infrastructures sanitaires (latrines ou toilettes)  - Si sélectionné, Qui sont les personnes qui ny 'ont pas accès ? Les filles (&lt; 18ans), les garçons (&lt;18ans), les femmes (18+), les hommes (18+), les personnes agées (60+), les minorités ethniques, les personnes en situation de handicap, autres (merci de préciser)
Autres (merci de préciser) 
Je ne sais pas ou je ne souhaite pas répondre </t>
  </si>
  <si>
    <t>Si "juste assez suffisant", "insuffisant", ou "pas suffisant du tout": 
Quelles sont les 3 principales raisons pour lesquelles les membres du ménage n'avaient pas accès aux latrines/toilettes ? (trois raisons principales)</t>
  </si>
  <si>
    <r>
      <t xml:space="preserve">Cash :
☐ De l'argent pour acheter des articles pour aller chercher de l'eau (des récipients par exemple) ou pour acheter de l'eau
☐ De l'argent pour acheter pouvoir construire ou améliorer les infrastructures sanitaires (toilettes ou latrines) 
☐ De l'argent pour acheter des articles hygiéniques (savon, couches pour bébés, serviettes hygiéniques, brosse à dent ou dentifrices par exemple)
Provision direct de biens:
☐ Provision direct d'articles pour aller chercher de l'eau (des récipients par exemple) </t>
    </r>
    <r>
      <rPr>
        <i/>
        <sz val="10"/>
        <color theme="1" tint="0.499984740745262"/>
        <rFont val="Arial Narrow"/>
        <family val="2"/>
      </rPr>
      <t xml:space="preserve">
☐ Provision direct d'eau (par camion d'eau)
☐ Construction / amélioration de points d'eau
☐ Construction / amélioration d'infrastructures sanitaires (toilettes ou latrines) 
☐ Provision direct d'articles hygiéniques (savon, couches pour bébés, serviettes hygiéniques, brosse à dent ou dentifrices par exemple)
Provision de services
☐ Conseils sur construction / améliorer les points d'eau
☐ Conseils sur comment assainir l'eau
☐ Conseils sur construction / améliorer des infrastructures sanitaires (toilettes ou latrines) 
☐ Conseils / renseignement sur l'hygiène personnelle
☐ Autre</t>
    </r>
  </si>
  <si>
    <t>Par enfant entre 6 et 59 mois : 
PB et/ou Œdème</t>
  </si>
  <si>
    <t>Par enfant entre 6 et 59 mois :
PBM</t>
  </si>
  <si>
    <t xml:space="preserve">Durant les 90 derniers jours, est-ce qu'un membre de votre ménage est décédé ? 
Nous aimerions avoir plus de détail sur le dernier décès qui a eu lieu dans votre ménage. Pourrions-nous savoir quel était la relation que vous avez avec cette personne ?  (famille proche (parents, grands-parents, enfants), famille plus éloignée (cousins, oncle, tante, neveu, nièce, autre), pas de lien biologique (merci de préciser)
Pourrions-nous connaître son âge ?
Pourrions-nous connaître son genre ?
Pourrions-nous connaître la date de son décès ?
Pourrions-nous connaître la cause de son décès ? c.f. liste 
</t>
  </si>
  <si>
    <t xml:space="preserve">Actuellement, avez-vous peur pour la sécurité des filles de moins de 18 ans de votre ménage ? ☐  Oui  ☐ Non
Si "oui", parmi les risques suivants, quels sont ceux auxquels les filles de votre ménages sont exposés ?  
Actuellement, avez-vous peur pour la sécurité des garçons de moins de 18 ans de votre ménage ? ☐  Oui  ☐ Non
Si "oui", parmi les risques suivants, quels sont ceux auxquels les garçons de votre ménages sont exposés ?  </t>
  </si>
  <si>
    <t>Au cours des 6 derniers mois, existe-t-il, dans votre ménage, des personnes qui ont été forcées de travailler, forcées d’accepter un emploi ou forcées de rester dans un emploi contre leur gré, sous la menace de punition ou de désavantage, ou pour le remboursement de dette ?</t>
  </si>
  <si>
    <t>S'est marié et a donc quitté la maison 
A quitté la maison pour chercher du travail / pour travailler
A quitté la maison pour étudier
A quitté la maison pour s'engager avec l'armée ou un groupe armé
A disparu (kidnappé, enlevé, est parti sans nouvelles)
S'est perdu pendant les déplacements
Est avec d'autres membres de la familles/tuteurs
Est détenu / arrêté
Est décédé par causes liées aux conflits
Je ne sais pas la raison
Autres</t>
  </si>
  <si>
    <t>% de  ménages qui ont accès a des mécanisemes communautaires de protection à distance de marche</t>
  </si>
  <si>
    <t>Existe-il des mécanismes communautaires auxquels on pourrait reporter les problèmes de protection à distance de marche ?</t>
  </si>
  <si>
    <t xml:space="preserve">Est-ce que tous vos enfants (moins de 18 ans) habitent avec vous? ☐  Oui  ☐  Non 
Si non, combien de filles n'habitent pas avec vous :___?
Si non, combien de garçons n'habitent pas avec vous :___?
Nous aimerions comprendre pourquoi ces XX enfants ne vivent pas sous votre toit avec vous. Parmi la liste suivante de raisons potentielles, pouvez-vous m'indiquer lesquelles s'appliquent à vos XX enfants ne vivant pas sous votre toit ? </t>
  </si>
  <si>
    <t>Si accès à de la santé sélectionné : 
Si vous deviez recevoir une assistance, quelle serait votre souhait ? (Classé par ordre de préférence : 1 à 3)</t>
  </si>
  <si>
    <t>Si accès à de l'eau et/ou latrine sélectionné : 
Si vous deviez recevoir une assistance, quelle serait votre souhait ? (Classé par ordre de préférence : 1 à 3)</t>
  </si>
  <si>
    <t>Si accès à de l'éducation sélectionné : 
Si vous deviez recevoir une assistance, quelle serait votre souhait ? (Classé par ordre de préférence : 1 à 3)</t>
  </si>
  <si>
    <t xml:space="preserve">Finalement, nous aimerions mieux comprendre les principales besoins prioritaires de votre ménage. Quels sont d'après vous les 3 besoins les plus important pour vous et votre ménage ? (classer par importance : 1 à 3) </t>
  </si>
  <si>
    <t>Quelle est la raison principale pour laquelle vous avez fui votre localité d'origine (premier déplacement) ?</t>
  </si>
  <si>
    <t>Présence d’autres membres de la famille (regroupement familliale)
Un accès à l'emploi / opportunité économique
Un accès aux services (santé, éducation)
Un rétablissement de la sécurité
Un accès à des abris
La capacité de regagner la maison initiale
Un accès à des moyens de subsistence (champs, nourriture, marché, …)
Une meilleure aide d'assistance humanitaire
Autres (merci de précier)
Je ne sais pas / préfère ne pas répondre</t>
  </si>
  <si>
    <t>Quelles sont les raisons principales pour lesquelles vous avez décidé d'entreprendre un retour vers votre localité d'origine ?</t>
  </si>
  <si>
    <t>Aucun besoin
Avoir accès à de la nourriture
Avoir accès à de l'eau / à des latrines ou à une meilleure hygiène de vie 
Avoir accès à la santé 
Pouvoir rejoindre les membres de ma famille 
Avoir accès à un service de support psychosocial
Récupérer des documents légaux d'identité pour ma famille
Avoir accès à l'éducation pour les enfants de ma famille
Avoir accès à un abri
Avoir accès à des biens non-alimentaires (couvertures, moustiquaires, seaux, etc.)</t>
  </si>
  <si>
    <t>% de ménage avec au moins une personne vulnérable à charge</t>
  </si>
  <si>
    <t>rep_hum</t>
  </si>
  <si>
    <t>Réponse humanitaire souhaitée</t>
  </si>
  <si>
    <t>Si l'infrastructure sanitaire est partagée avec plus de 20 personnes : 
Est-ce que les latrines communautaires que vous utilisez sont séparées par genre?</t>
  </si>
  <si>
    <t>Si l'infrastructure sanitaire est partagée avec plus de 20 personnes : 
Est-ce que les latrines communautaires que vous utilisez comprennent un espace réservé aux femmes pour leur hygiène menstruelle ?</t>
  </si>
  <si>
    <t xml:space="preserve">Si latrines communautaires observées :
Partagez-vous ces latrines/toilettes avec plus de 20 personnes ? </t>
  </si>
  <si>
    <t>Propre maison en dur</t>
  </si>
  <si>
    <t>Propre habitat à long terme en paille ou location d'une maison en dur ou maison prêtée en dur</t>
  </si>
  <si>
    <t>Maison en dure occupée sans le consentement du propriétaire</t>
  </si>
  <si>
    <t>pas d'abri</t>
  </si>
  <si>
    <t>abri d'urgence / de transition</t>
  </si>
  <si>
    <t>% de ménages comprenant au moins un membre en détresse psychosociale, par âge et genre</t>
  </si>
  <si>
    <t xml:space="preserve">% de ménages avec des enfants de moins de 18 ans qui sont impliqués dans des types de travail qui sont difficiles et dangereux pour eux </t>
  </si>
  <si>
    <t>% de ménages avec des enfants de moins de 18 ans qui sont impliqués dans des types de travail</t>
  </si>
  <si>
    <t>% de ménages étant membre de l’association ou groupement (ou AVEC, tontine, EPC, etc)</t>
  </si>
  <si>
    <t xml:space="preserve">Êtes-vous ou un membre de votre ménage membre de l'association ou groupement (AVEC, tontine, EPC, etc) ? </t>
  </si>
  <si>
    <t>Oui
Non
Je ne sias pas / péfère ne pas répondre</t>
  </si>
  <si>
    <t>III. Humanitarian conditions – People with living standard gaps Livelihood</t>
  </si>
  <si>
    <t>Est membre</t>
  </si>
  <si>
    <t>N'est pas membre</t>
  </si>
  <si>
    <t xml:space="preserve">% de ménages qui ont accès à des initiatives de formation professionnelle métiers </t>
  </si>
  <si>
    <t>A accès</t>
  </si>
  <si>
    <t>N'a pas accès</t>
  </si>
  <si>
    <t>Agriculture ou maraîchage et vente des produits d'agirculture
Pêche/Chasse/cueillette et vente des produits de la pêche/chasse/cueillette (miel, gibier, champignons, chenilles)
Élevage et vente de produits d’élevage et de bétail (lait, œufs, volailles)
Commerce
Petit commerce
Petits métiers (menuisier, maçons, plombier, tailleur etc.)) 
Travail journalier rémunéré agricole (en nature ou en espèces) 
Travail journalier rémunéré non agricole
Transport (chauffeur, activités connexes)
Fonctionnaires et/ou salariés (y compris pension)
Transformation produits naturels/Exploitation/vente de la production minière
Transferts d'argent/Aides/Dons sociaux (fait par la communauté/famille et/ou des tierces personnes)/Aides/Dons humanitaire (fait par l’Etat ou des organisations)/Mendicité/Emprunts/Dettes
Autre (à préciser) :___________________________
Je ne sais pas / préfère ne pas répondre</t>
  </si>
  <si>
    <t>% de ménages par stratégie de survie (LCS)</t>
  </si>
  <si>
    <t>Au cours des 30 derniers jours, est-ce que quelqu’un dans votre ménage a dû faire l’une des choses suivantes parce qu'il n'y avait pas assez de nourriture ou d'argent pour l'acheter ?</t>
  </si>
  <si>
    <t>TBC with FoodSec</t>
  </si>
  <si>
    <t>1. Consommer des aliments moins préférés et moins chers – si oui, combien de jours ? 
2. Emprunter de la nourriture ou recourir à l’aide des parents, des voisins ou des amis – si oui, combien de jours ?
3. Diminuer la quantité consommée pendant les repas – si oui, combien de jours ?
4. Restreindre la consommation des adultes pour permettre aux plus jeunes de manger davantage – si oui, combien de jours ?
5. Diminuer le nombre de repas par jour – si oui, combien de jours ?
6. Réduire la quantité d'eau utilisée à des fins domestiques (pour boire, laver, cuisiner, etc.) – si oui, combien de jours ?
7. Utiliser de l'eau non sûre (sans la bouillir ou la purifier) d'une source non-améliorée – si oui, combien de jours ?</t>
  </si>
  <si>
    <t>Depuis combien de temps êtes-vous parti de votre localité d'origine?</t>
  </si>
  <si>
    <t>Votre ménage pratique-t-il l’agriculture au cours de cette saison de façon optimale ?</t>
  </si>
  <si>
    <t>WASH_6</t>
  </si>
  <si>
    <t>WASH_7</t>
  </si>
  <si>
    <t>Quantité d’eau moyenne utilisée par jour et par personne (en litres)</t>
  </si>
  <si>
    <t xml:space="preserve">Quels sont tous les récipients que vous avez utilisés hier pour collecter de l'eau utilisée à des fins domestiques (boire, manger, se laver, nettoyer) ? </t>
  </si>
  <si>
    <t>Volume par récipient (en litres)</t>
  </si>
  <si>
    <t>Combien de fois chaque récipient a-t-il été rempli?</t>
  </si>
  <si>
    <t>Nombre de fois que les récipients ont été remplis</t>
  </si>
  <si>
    <t>Question_ID_2</t>
  </si>
  <si>
    <t xml:space="preserve">Si moins de 15l d'eau par personne par jour : 
Quelles sont les 3 principales raisons pour lesquelles vous n'arrivez pas à répondre à vos besoins en eau ? </t>
  </si>
  <si>
    <t xml:space="preserve">Actuellement, avez-vous peur la sécurité des femmes adultes de ce ménage ? ☐  Oui  ☐ Non
Si "oui", parmi les risques suivants, quels sont ceux auxquels les femmes du ménages sont exposés ?  
(si homme) Actuellement, avez-vous peur la sécurité des autres hommes de ce ménage ? ☐  Oui  ☐ Non
Si "oui", parmi les risques suivants, quels sont ceux auxquels les hommes du ménages sont exposés ?  </t>
  </si>
  <si>
    <t>Y a-t-il au moins un membre du ménage qui a souffert au cours des 30 derniers jours en montrant des signes de détresses psychologiques (comme des cauchemars, de la tristesse prolongée, de la fatigue extrême, de l'anxiété, etc.) ou avez-vous remarqué un changement de comportement inhabituel ou inquiétant de la part d'un membre de votre famille ?</t>
  </si>
  <si>
    <t>Comité de protection
Relais communautaire
Administration légale
Administration locale
Centre écoute et conseil
Autres
Je ne sais pas / préfère ne pas répondre</t>
  </si>
  <si>
    <t>1 = Non, parce que je n’en ai pas eu besoin
2 = Non, parce que j’ai déjà vendu ces actifs ou mené cette activité au cours des 12 derniers mois et je ne peux pas continuer à le faire
3 = Oui 
5 = Non pertinent (s'applique à la vente de maison et vente de bétails) 
Vendre des actifs non productifs du ménage (radio, meubles, réfrigérateur, télévision, bijoux, etc.)
Vendre des actifs productifs ou moyens de transport (matériel agricole, machine à coudre, brouette, vélo, voiture, etc.)
Réduire les dépenses non alimentaires essentielles telles que l’éducation, la santé
Dépenser l’épargne
Emprunter de l’argent/nourriture à un préteur officielle/banque
Retirer les enfants de l’école
Vendre la maison, la parcelle de terrain ou le champ
Un membre de la famille a dû s’engager dans des activités risquées ou illégales génératrices de revenus (vols, vente de la drogue, travail avec groupes armés, prostitution, etc.)
Mendier
Vendre plus d’animaux (non-productifs) que d’habitude
Consommation des semences</t>
  </si>
  <si>
    <r>
      <t>Si accès à NFI sélectionné : 
Si vous deviez recevoir une assistance, quelle serait votre souhait ?</t>
    </r>
    <r>
      <rPr>
        <sz val="10"/>
        <color rgb="FFFF0000"/>
        <rFont val="Arial Narrow"/>
        <family val="2"/>
      </rPr>
      <t xml:space="preserve"> </t>
    </r>
    <r>
      <rPr>
        <sz val="10"/>
        <rFont val="Arial Narrow"/>
        <family val="2"/>
      </rPr>
      <t>(Classé par ordre de préférence : 1 à 3)</t>
    </r>
  </si>
  <si>
    <t>Combien avez-vous dépensé pour acquérir les biens et/ou services au cours des 6 derniers mois ?
Dépense estimée en XAF pour chacune des catégories (si aucune dépense, écrire 0):</t>
  </si>
  <si>
    <t>MSSC_6</t>
  </si>
  <si>
    <t>MSSC_7</t>
  </si>
  <si>
    <t>% de ménages hébergeant un ménage déplacé</t>
  </si>
  <si>
    <t xml:space="preserve">Bonjour, mon nom est 'NOM DE L'ENQUETEUR' et je travaille pour REACH. 
Nous mettons en place une étude multisectorielle nationale d'évaluation des besoins et nous souhaitons vous poser quelques questions sur votre situation - niveau de vos revenus, accès à la nourriture/eau, à la santé, à l'éducation et sur votre protection. 
Le questionnaire prendra environ 1 heure. 
Toute information que vous nous donnerez restera strictement anonyme. 
C'est une activité volontaire, et vous être libre pour chaque question de ne pas vouloir répondre et/ou de mettre fin à l'enquête à tout moment du questionnaire. 
Néanmoins, nous espérons que vous participerez car votre point de vue est important. 
Il est également essentiel de comprendre que nous sommes là uniquement pour nous renseigner sur les conditions de vie des habitants de la localité et non pas pour apporter une réponse humanitaire. 
Avez-vous des questions ? Est-ce que je peux commencer ? </t>
  </si>
  <si>
    <t>A quel groupe de population appartenez-vous ?</t>
  </si>
  <si>
    <t>Vous indiquez être un retourné / rapatrié. 
Où êtes-vous aujourd'hui ?</t>
  </si>
  <si>
    <t>Logement détruit
Logement occupé par un tiers (privée)
Logement occupé par l’état (militaire ou civil)
Logement trop cher
Perte du ou de la partenaire qui possédait le logement
Perte de la documentation attestant de ma propriété
Insécurité ou traumatisme ressentie dans le logement d’origine
Autre, à préciser</t>
  </si>
  <si>
    <t>Si retour commune mais pas de retour dans l'abri d'origine: 
Vous n'avez pas rejoint votre abri d'origine, pourquoi ?</t>
  </si>
  <si>
    <t>Pour le plus jeune enfant seulement et si moins de 5 ans: 
Où est-ce que cet enfant a été acouché ?
- A la maison? Si oui pourquoi ? (c.f liste de réponses proposée)
- Au Centre de Santé?
- Autre (merci de préciser)</t>
  </si>
  <si>
    <t>De retour dans mon abri d'origine
De retour dans ma localité d'origine (mais pas dans mon abri d'origine)
Dans une autre commune</t>
  </si>
  <si>
    <t>Si pas de retour dans l'abri d'origine: 
Vous n'avez pas rejoint votre localité d'origine, pourquoi ?</t>
  </si>
  <si>
    <t>Rejoindre les membres de ma communauté / famille (regroupement familliale)
Meilleure assistance humanitaire fournie dans la localité d'origine que dans celle où je m'étais déplacé
Pas ou moins d’assistance dans la localité où je m'étais déplacé
Raison économique (recherche d'opportunités / mener des activités économiques)
Meilleure qualité de vie dans la localité d'origine
Difficultés des conditions de vie dans la localité où je m'étais déplacé (difficultés d’accès aux ressources/ pas de sources de revenu)
Les conditions de sécurités se sont considérablement améliorée dans la localité d'origine
Les conditions de sécurités se sont considérablement détériorée dans la localité où je m'étais déplacé
Le site sur lequel nous nous trouvions a fermé
Tensions avec les communautés hôtes dans la localité doù je m'étais déplacé
Autre (merci de préciser)
Je ne sais pas / préfère ne pas répondre</t>
  </si>
  <si>
    <t xml:space="preserve">Posée pour toutes les populations hôtes, retournées ou rapatriées : 
Hébergez-vous EN PLUS actuellement des membres d'un autre ménage déplacé qui ont fui leur localité d'origine ? </t>
  </si>
  <si>
    <r>
      <t xml:space="preserve">Non
</t>
    </r>
    <r>
      <rPr>
        <b/>
        <i/>
        <sz val="10"/>
        <color theme="1" tint="0.499984740745262"/>
        <rFont val="Arial Narrow"/>
        <family val="2"/>
      </rPr>
      <t xml:space="preserve">Femmes enceintes </t>
    </r>
    <r>
      <rPr>
        <i/>
        <sz val="10"/>
        <color theme="1" tint="0.499984740745262"/>
        <rFont val="Arial Narrow"/>
        <family val="2"/>
      </rPr>
      <t xml:space="preserve">-  Oui, Non, Je ne sais pas / préfère ne pas répondre
</t>
    </r>
    <r>
      <rPr>
        <b/>
        <i/>
        <sz val="10"/>
        <color theme="1" tint="0.499984740745262"/>
        <rFont val="Arial Narrow"/>
        <family val="2"/>
      </rPr>
      <t xml:space="preserve">Femmes allaitantes </t>
    </r>
    <r>
      <rPr>
        <i/>
        <sz val="10"/>
        <color theme="1" tint="0.499984740745262"/>
        <rFont val="Arial Narrow"/>
        <family val="2"/>
      </rPr>
      <t xml:space="preserve">-  Oui, Non, Je ne sais pas / préfère ne pas répondre
</t>
    </r>
    <r>
      <rPr>
        <b/>
        <i/>
        <sz val="10"/>
        <color theme="1" tint="0.499984740745262"/>
        <rFont val="Arial Narrow"/>
        <family val="2"/>
      </rPr>
      <t xml:space="preserve">Enfants séparés </t>
    </r>
    <r>
      <rPr>
        <i/>
        <sz val="10"/>
        <color theme="1" tint="0.499984740745262"/>
        <rFont val="Arial Narrow"/>
        <family val="2"/>
      </rPr>
      <t xml:space="preserve">- séparé de ses deux parents ou des personnes qui en avaient la charge à titre principal auparavant en vertu de la loi ou de la coutume, mais pas nécessairement d’autres membres de sa famille. Un enfant séparé peut donc être accompagné par un autre membre adulte de sa famille -  Oui, Non, Je ne sais pas / préfère ne pas répondre
</t>
    </r>
    <r>
      <rPr>
        <b/>
        <i/>
        <sz val="10"/>
        <color theme="1" tint="0.499984740745262"/>
        <rFont val="Arial Narrow"/>
        <family val="2"/>
      </rPr>
      <t>Enfants non-accompagnés</t>
    </r>
    <r>
      <rPr>
        <i/>
        <sz val="10"/>
        <color theme="1" tint="0.499984740745262"/>
        <rFont val="Arial Narrow"/>
        <family val="2"/>
      </rPr>
      <t xml:space="preserve"> - séparé de ses deux parents et d’autres membres proches de sa famille et n’est pas pris en charge par un adulte investi de cette responsabilité par la loi ou la coutume -  Oui, Non, Je ne sais pas / préfère ne pas répondre</t>
    </r>
    <r>
      <rPr>
        <b/>
        <i/>
        <sz val="10"/>
        <color theme="1" tint="0.499984740745262"/>
        <rFont val="Arial Narrow"/>
        <family val="2"/>
      </rPr>
      <t xml:space="preserve">
Personne avec un handicap physique -</t>
    </r>
    <r>
      <rPr>
        <i/>
        <sz val="10"/>
        <color theme="1" tint="0.499984740745262"/>
        <rFont val="Arial Narrow"/>
        <family val="2"/>
      </rPr>
      <t xml:space="preserve"> qui n'est pas en mesure de prendre soin d'elle-même (s'habiller, se laver, etc), de travailler ou d'étudier. Elle n'est pas autonome. </t>
    </r>
    <r>
      <rPr>
        <b/>
        <i/>
        <sz val="10"/>
        <color theme="1" tint="0.499984740745262"/>
        <rFont val="Arial Narrow"/>
        <family val="2"/>
      </rPr>
      <t xml:space="preserve">
Personne avec un handicap mental</t>
    </r>
    <r>
      <rPr>
        <i/>
        <sz val="10"/>
        <color theme="1" tint="0.499984740745262"/>
        <rFont val="Arial Narrow"/>
        <family val="2"/>
      </rPr>
      <t xml:space="preserve"> - qui a un trouble de comportement (Personne qui bavarde beaucoup, dis ou fait des choses qui n’ont pas de sens, très agitée, agressif ; trop calme ou renfermé sur lui-même ; ou que l’on traite de fou)</t>
    </r>
  </si>
  <si>
    <t>Pour chaque personne dans le ménage : 
Cette personne a-t-elle été malade au cours des 30 derniers jours ?</t>
  </si>
  <si>
    <t>Oui / Non ;
Si oui, a-t-elle reçu les soins nécessaires?
Oui, à la maison.
Oui, dans un centre de santé
Oui, ailleurs (merci de préciser)
Non.</t>
  </si>
  <si>
    <t>Pour chaque personne dans le ménage et si non soigné :
Pour quelle raison n'a-t-elle pas reçu les soins nécessaires ?</t>
  </si>
  <si>
    <t xml:space="preserve">Pour chaque personne de 5 ans ou plus dans le ménage et si a été malade durant les 30 derniers jorus :
De quelle(s) maladie(s) a-t-elle souffert au cours des 30 derniers jours ? </t>
  </si>
  <si>
    <t xml:space="preserve">Pour chaque enfants de moins de 5 ans dans le ménage et si a été malade durant les 30 derniers jorus :
De quelle(s) maladie(s) a-t-elle souffert au cours des 30 derniers jours ? </t>
  </si>
  <si>
    <t xml:space="preserve">Par enfant entre 4 et 18 ans :
Est-ce que cette personne était inscrite dans une école durant l’année scolaire qui vient de se terminer (2018-2019) ? </t>
  </si>
  <si>
    <t xml:space="preserve">☐  Oui   ☐  Non
Si "oui", dans quel niveau était-elle inscrite pour l’année scolaire 2018-2019 ? Niveau préscolaire ; Niveau primaire ; Niveau secondaire </t>
  </si>
  <si>
    <t xml:space="preserve">Par enfant entre 4 et 18 ans - inscrit à l'école dans l'année scolaire correspondante :
Et était-elle souvent présente à l’ école durant l’année scolaire qui vient de se terminer ? </t>
  </si>
  <si>
    <t>Si enfant en situation de handicap entre 4 et 18 ans :
Comment percevez-vous l’accès à l’éducation pour cet enfant par rapport à son handicap ?</t>
  </si>
  <si>
    <t>Si enfant de moins de 18 ans non inscrits à l'école ou présent à l'école moins de 6 mois : 
Est-ce qu'elle travaille actuellement ou contribue aux activités professionnelles de la famille ?</t>
  </si>
  <si>
    <t>Vous avez indiqué avoir au moins un enfant non-scolarisé ou qui a été présent à l'école moins de 6 mois. 
Pourriez-vous nous dire les principales barrières ou challenges qui rendent difficiles pour vos enfants de s'enregistrer ou de suivre régulièrement les cours ? (classé 1 to 3)</t>
  </si>
  <si>
    <r>
      <t>- Bâche -</t>
    </r>
    <r>
      <rPr>
        <b/>
        <i/>
        <sz val="10"/>
        <color theme="1" tint="0.499984740745262"/>
        <rFont val="Arial Narrow"/>
        <family val="2"/>
      </rPr>
      <t xml:space="preserve"> oui/non</t>
    </r>
    <r>
      <rPr>
        <i/>
        <sz val="10"/>
        <color theme="1" tint="0.499984740745262"/>
        <rFont val="Arial Narrow"/>
        <family val="2"/>
      </rPr>
      <t xml:space="preserve">
- Kit cuisine complet </t>
    </r>
    <r>
      <rPr>
        <b/>
        <i/>
        <sz val="10"/>
        <color theme="1" tint="0.499984740745262"/>
        <rFont val="Arial Narrow"/>
        <family val="2"/>
      </rPr>
      <t>- Complet / incompet / pas du tout:</t>
    </r>
    <r>
      <rPr>
        <i/>
        <sz val="10"/>
        <color theme="1" tint="0.499984740745262"/>
        <rFont val="Arial Narrow"/>
        <family val="2"/>
      </rPr>
      <t xml:space="preserve">
- Habits pour les membres du ménage - </t>
    </r>
    <r>
      <rPr>
        <b/>
        <i/>
        <sz val="10"/>
        <color theme="1" tint="0.499984740745262"/>
        <rFont val="Arial Narrow"/>
        <family val="2"/>
      </rPr>
      <t xml:space="preserve">Pour tous les membres de la famille / pour une partie des membres de la famille / pour aucun des membre de la famille : </t>
    </r>
    <r>
      <rPr>
        <i/>
        <sz val="10"/>
        <color theme="1" tint="0.499984740745262"/>
        <rFont val="Arial Narrow"/>
        <family val="2"/>
      </rPr>
      <t xml:space="preserve">
- Documentation légale d'identité (un extrait d’acte de naissance ou une carte d’identité) pour tous les membres du ménage -</t>
    </r>
    <r>
      <rPr>
        <b/>
        <i/>
        <sz val="10"/>
        <color theme="1" tint="0.499984740745262"/>
        <rFont val="Arial Narrow"/>
        <family val="2"/>
      </rPr>
      <t xml:space="preserve"> Pour tous les membres de la famille / pour une partie des membres de la famille / pour aucun des membre de la famille :</t>
    </r>
    <r>
      <rPr>
        <i/>
        <sz val="10"/>
        <color theme="1" tint="0.499984740745262"/>
        <rFont val="Arial Narrow"/>
        <family val="2"/>
      </rPr>
      <t xml:space="preserve">  - si 'une partie des membres du ménage' Combien parmi les XX filles (moins de 18 ans) de votre ménage possèdent une documentation légale d'identité ? Combien parmi les XX graçons (moins de 18 ans) de votre ménage possèdent une documentation légale d'identité ? Combien parmi les XX femmes (18 ans ou plus) de votre ménage possèdent une documentation légale d'identité ?  Combien parmi les XX hommes (18 ans ou plus) de votre ménage possèdent une documentation légale d'identité ? 
- Titre de propriété pour l'ensemble des biens et propriétés  - </t>
    </r>
    <r>
      <rPr>
        <b/>
        <i/>
        <sz val="10"/>
        <color theme="1" tint="0.499984740745262"/>
        <rFont val="Arial Narrow"/>
        <family val="2"/>
      </rPr>
      <t>Complet / incompet / pas du tout:</t>
    </r>
    <r>
      <rPr>
        <i/>
        <sz val="10"/>
        <color theme="1" tint="0.499984740745262"/>
        <rFont val="Arial Narrow"/>
        <family val="2"/>
      </rPr>
      <t xml:space="preserve">
- Semence - </t>
    </r>
    <r>
      <rPr>
        <b/>
        <i/>
        <sz val="10"/>
        <color theme="1" tint="0.499984740745262"/>
        <rFont val="Arial Narrow"/>
        <family val="2"/>
      </rPr>
      <t xml:space="preserve">en suffisance, insuffisant, pas du tout 
</t>
    </r>
    <r>
      <rPr>
        <i/>
        <sz val="10"/>
        <color theme="1" tint="0.499984740745262"/>
        <rFont val="Arial Narrow"/>
        <family val="2"/>
      </rPr>
      <t xml:space="preserve">- Outils aratoire - </t>
    </r>
    <r>
      <rPr>
        <b/>
        <i/>
        <sz val="10"/>
        <color theme="1" tint="0.499984740745262"/>
        <rFont val="Arial Narrow"/>
        <family val="2"/>
      </rPr>
      <t>en suffisance, insuffisant, pas du tout</t>
    </r>
    <r>
      <rPr>
        <i/>
        <sz val="10"/>
        <color theme="1" tint="0.499984740745262"/>
        <rFont val="Arial Narrow"/>
        <family val="2"/>
      </rPr>
      <t xml:space="preserve">
- Cendres pour le lavage des mains </t>
    </r>
    <r>
      <rPr>
        <b/>
        <i/>
        <sz val="10"/>
        <color theme="1" tint="0.499984740745262"/>
        <rFont val="Arial Narrow"/>
        <family val="2"/>
      </rPr>
      <t>- oui/non</t>
    </r>
    <r>
      <rPr>
        <i/>
        <sz val="10"/>
        <color theme="1" tint="0.499984740745262"/>
        <rFont val="Arial Narrow"/>
        <family val="2"/>
      </rPr>
      <t xml:space="preserve">
- Capacité totale des bidons</t>
    </r>
    <r>
      <rPr>
        <b/>
        <i/>
        <sz val="10"/>
        <color theme="1" tint="0.499984740745262"/>
        <rFont val="Arial Narrow"/>
        <family val="2"/>
      </rPr>
      <t xml:space="preserve"> - en Litres</t>
    </r>
    <r>
      <rPr>
        <i/>
        <sz val="10"/>
        <color theme="1" tint="0.499984740745262"/>
        <rFont val="Arial Narrow"/>
        <family val="2"/>
      </rPr>
      <t xml:space="preserve">
- </t>
    </r>
    <r>
      <rPr>
        <b/>
        <i/>
        <sz val="10"/>
        <color theme="1" tint="0.499984740745262"/>
        <rFont val="Arial Narrow"/>
        <family val="2"/>
      </rPr>
      <t>Nombre de :</t>
    </r>
    <r>
      <rPr>
        <i/>
        <sz val="10"/>
        <color theme="1" tint="0.499984740745262"/>
        <rFont val="Arial Narrow"/>
        <family val="2"/>
      </rPr>
      <t xml:space="preserve">
Nombre de savons de toilettes
Nombre de savons de lessive
Nombre de pots pour bébé
Nombre de gobelets de 250ml
Nombre de serviettes hygièniques
Nombre de seaux avec couvercle
Nombre de moustiquaires
Nombre de casseroles et marmites (5 litres et +)
Nombre de supports de couchage (lits, matelas, natte)
Nombre de couvertures/ draps</t>
    </r>
  </si>
  <si>
    <t>Maison en dur (briques cuites/parpaings, avec ciment)
Habitat à long terme en paille
Abri d'urgence / de transition (structure + bâche, cordes / poteaux, paille)
Pas d'abri
Autre (merci de préciser)
Je ne sais pas / préfère ne pas répondre</t>
  </si>
  <si>
    <t xml:space="preserve">L'abri dans lequel vous vivez est-il le vôtre (en êtes-vous propriétaire) ? Oui / Non
Si vous n'êtes pas propriétaire, quel type de contrat avez-vous avec le propriétaire ? </t>
  </si>
  <si>
    <t>Location
Maison prêtée 
Maison occupée sans le consentement du propriétaire  
Autre, préciser
Je ne sais pas / préfère ne pas répondre</t>
  </si>
  <si>
    <t>Au cours des 90 derniers jours, aviez-vous accès à une initiative de formation professionnelle métier ?</t>
  </si>
  <si>
    <t>Vol de bétail 
Pillage / criminalité 
Harcèlement pour révéler des informations
Mariage avant 18 ans (mariage précoce) / Mariage forcé (contre sa volonté) 
Séparation de la famille 
Violence entre voisins
Conflits fonciers 
Incident causé par la transhumance
Violences sexuelles
Rumeurs d'attaques
Recrutement forcé 
Travail forcé (contre sa volonté) 
Enlèvements / kidnapping – général 
Enlèvements / kidnapping pour du travail forcé (contre sa volonté) 
Meurtre / blessure entre membre de différents groupes 
Meurtre / blessure au sein de la même communauté
Tensions entre communauté hôte / communauté déplacé
Autres (merci de préciser)
Je ne sais pas ou je ne souhaite pas répondre</t>
  </si>
  <si>
    <r>
      <rPr>
        <b/>
        <sz val="10"/>
        <rFont val="Arial Narrow"/>
        <family val="2"/>
      </rPr>
      <t>Définition</t>
    </r>
    <r>
      <rPr>
        <sz val="10"/>
        <rFont val="Arial Narrow"/>
        <family val="2"/>
      </rPr>
      <t xml:space="preserve"> : Un ménage est défini comme l'ensemble des membres vivant sous le même toit qui dépendent financièrement d’un même revenu et partagent les mêmes repas. 
</t>
    </r>
    <r>
      <rPr>
        <b/>
        <sz val="10"/>
        <rFont val="Arial Narrow"/>
        <family val="2"/>
      </rPr>
      <t>Instruction</t>
    </r>
    <r>
      <rPr>
        <sz val="10"/>
        <rFont val="Arial Narrow"/>
        <family val="2"/>
      </rPr>
      <t xml:space="preserve"> : si deux différents ménages vivent sous le même toi mais ne partagent PAS les mêmes revenus ou les mêmes repas, alors choisir aléatoirement (en lançant une pièce de monnaie et choisir à pile ou face par exemple) le ménage qui sera interrogé. </t>
    </r>
  </si>
  <si>
    <t>Etes vous chef de ménage ?</t>
  </si>
  <si>
    <t>Conflits communautaires
Conflits armés (inclus affrontements et attaques armées)
Arrivée de groupes d’éleveurs transhumants (armés ou non)
Catastrophes naturelles (inondations, feux de brousse,…)
Recherche de services (santé, éducatiton, etc.)
Recherche de moyens de subsistance (emplois, revenus, etc.)
Autre (merci de préciser)
Je ne sais pas / préfère ne pas répondre</t>
  </si>
  <si>
    <t>Merci de nous indiquer le nombre total de personne de votre ménage. N'oubliez pas de vous inclure dans le calcul !
Merci de compter tous les membres de votre ménage uniquement, vous y compris, et toutes personnes vivant sous votre toit qui dépendent financièrement de votre revenu.</t>
  </si>
  <si>
    <t>Entrer un nombre</t>
  </si>
  <si>
    <t>Si "oui", de combien de personnes (Adulte ; Enfants (5 - 18 ans) ; Enfants (moins de 5 ans))</t>
  </si>
  <si>
    <t>La maternité ou centre de santé était fermée ou non fonctionnelle (Occupée par des groupes armés ; Partiellement / totalement endommagée ; Occupée par des IDPs ; Manque de personnels soignant qualifiés)
L'accès à la maternité ou au centre de santé n'était pas sûr (Le trajet n'est pas sécurisé jusqu’à la maternité ou le centre de santé ; Risque d’enlèvements, de violence contre les patients (violences corporelles, harcèlement))
La maternité ou le centre de santé était financièrement inaccessible (Les charges sont trop élevées ; Les moyens de transport sont trop chers)
Physiquement impossible pour la mère enceinte de se rendre à la maternité ou centre de santé (enfants à charge à la maison ; distance avec la maternité ou le centre de santé ; Aucun transport n’est disponible)
La maternité ou le centre de santé est surpeuplé
Il manque du personnel pour gérer la maternité ou le centre de santé (Manque de personnels ; manque de personnels qualifiés)
Les infrastructures de la maternité ou du centre de santé étaient dans un mauvais état (Le bâtiment est dans un mauvais état (e.g. manque de matériels, manque d’électricité, fuite d’eau, manque de latrines, etc.) ; Les infrastructures EHA sont dans un mauvais état (entretien des latrines, odeurs, ségrégation du genre, etc.))
J'ai bénéficié d'un accouchement assistée par une personnel qualifié à domicile
Je ne souhaite pas rejoindre une maternité ou un centre de santé pour accoucher (pour causes de coutumes / traditions ; je ne pense pas que cela soit nécessaire)
Je ne sais pas / ne souhaite pas répondre</t>
  </si>
  <si>
    <t>Les infrastructures ont été détruites par des catastrophes naturelles (inondation, incendie, etc.) 
Les infrastructures ont été détruites durant les combats
Il n'y a jamais eu d'infrastructures de santé à proximité
Il n'y a pas de médicaments disponibles
Il n'y a pas de travailleurs de santé dans la zone
L'insécurité est trop forte dans la zone
Les infrastructures sont trop éloignées
Le ménage n’a pas les ressources financières pour s’octroyer des soins médicaux
Le ménage estime que la qualité des soins fournis n’est pas suffisante
Je ne sais pas / ne souhaite pas répondre</t>
  </si>
  <si>
    <t>Fièvres 
Diarrhée
Toux
Autres (merci de préciser)
Je ne sais pas / ne souhaite pas répondre</t>
  </si>
  <si>
    <t>Paludisme
Fièvre
Infections Respiratoires Aigües
Diarrhées
Rougeole
Hépatite
Choléra
VIH/SIDA
Méningite
Autre (précisez)
Je ne sais pas / ne souhaite pas répondre</t>
  </si>
  <si>
    <t>Agriculture/Travaux champetres
Pêche
Elevage /chasse
Carrière / Mines
Petit commerce
Restauration
Artisanat (menuiserie, forge, soudure...)
Travaux domestiques
Construction / Batiment
Travaux domestiques
Transport
Recrutes
Prostitution
Autre, préciser
Je ne sais pas / préfère ne pas répondre</t>
  </si>
  <si>
    <t xml:space="preserve">Si enfant de moins de 18 ans non inscrits à l'école ou présent à l'école moins de 6 mois et travaille ou contribue aux activités du ménage :
 Dans quel type de travail est-elle impliquée ? </t>
  </si>
  <si>
    <t>Il n'y a pas de marchés à distance de marche dans la zone (aller-retour impossible dans la journée) ; 
Il y a un marché dans la zone, mais je ne peux m'y rendre pour cause d'insécurité sur la route
Il y a un marché dans la zone, mais je ne peux m'y rendre pour cause d'absence de moyens de transport
Il y a un marché dans la zone, mais je ne peux m'y rendre car j'ai des difficultés à me déplacer
J'ai accès à un marché, mais les prix sont trop élevé, et je ne peux m'y approvisionner complètement par conséquent ; 
Le marché est accessible, mais il n'est pas correctement approvisionné en biens alimentaires ; 
Le marché est accessible, mais il n'est pas correctement approvisionné en articles non-alimentaires ;
Le marché est accessible, approvisionné, et à prix abordable pour mon ménage</t>
  </si>
  <si>
    <t xml:space="preserve">J'y ai accès dans mon ménage
Moins de 5 minutes
Entre 5 et 15 minutes
Entre 16 et 30 minutes 
Plus de 31 minutes
Je ne sais pas / préfère ne pas répondre
</t>
  </si>
  <si>
    <t xml:space="preserve">La distance au point d'eau est trop grande
La route est difficile d’accès
Certains groupes (enfants, femmes, personnes âgées, minorités ethniques) n’ont pas accès aux sources d’eau - Si sélectionné, Qui sont les personnes qui n'y ont pas accès ? Les filles (&lt; 18ans), les garçons (&lt;18ans), les femmes (18+), les hommes (18+), les personnes agées (60+), les minorités ethniques, les personnes en situation de handicap, autres (merci de préciser)
La route ou le lieu de d'accès à l'eau est trop dangereux
L'attente est trop longue / nombre insuffisant de sources d’eau
La source d’eau ne fonctionne pas / est fermée
L’eau n’est pas disponible au marché
Pas de moyens financiers / l’eau est trop cher
Pas assez de récipients pour stocker l’eau
La qualité de l’eau n’est pas bonne (l'eau est brunâtre, odorante ou salée)
Pas de ressources en eau
Autre (merci de préciser) 
13. Je ne sais pas / préfère ne pas répondre </t>
  </si>
  <si>
    <t>De la part de la Force armée (FACA)
De la part de la gendarmerie
De la part de GA (Groupes armés)
De la part du chef de la communauté
Sur les lieux de culte 
De la part des fonctionnaires du gouvernement
De la part d'amis et de la famille 
De la part des travailleurs humanitaires des Nations Unies
De la part des travailleurs humanitaires des ONG nationales
De la part des travailleurs humanitaires des ONG internationales
Autres (merci de préciser)  
Je ne sais pas / préfère ne pas répondre</t>
  </si>
  <si>
    <t>Des nouvelles sur ce qu’il se passe dans la zone où vous vous situez
Des nouvelles sur ce qu’il se passe dans la zone où vous habitiez avant (si différent)
Retrouver des personnes manquantes
De l’information sur la situation de sécurité dans la zone où vous vous situez
Savoir comment s’enregistrer pour obtenir de l’aide humanitaire
Savoir comment obtenir de l’eau
Savoir comment obtenir de la nourriture
Savoir comment obtenir un abri / un logement / du matériel pour construire un abri
De l’information sur la nutrition
De l’information sur les prix de la nourriture
De l’information sur les cultures locales / prix du bétail
Savoir comment obtenir du combustible pour la cuisine / bois de chauffage
De l’information sur la météo locale
Savoir comment obtenir des soins / une consultation médicale
Savoir comment obtenir de l’aide ou du soutien après avoir été attaqué, harcelé ou enlevé
Savoir comment obtenir de l’aide après avoir été forcé à faire un travail ou à exercer une activité contre sa volonté 
Savoir comment obtenir de l'aide ou du soutien après avoir été victime de violences sexuelles
Savoir comment rester en sécurité afin de prévenir les attaques, le harcèlement ou les enlèvements
Savoir comment remplacer ses documents personnels (e.g. certificat de naissance / carte d'identité)
Savoir comment avoir accès à de l’éducation
Savoir comment trouver du travail
Savoir comment avoir accès à des moyens de transport
Savoir comment obtenir de l’argent / un soutien financier
Avoir de l'information sur la possibilité de retourner dans les lieux d'origine
Avoir de l'information sur comment pouvoir retrouver un logement
Avoir de l'information sur les agences humanitaires qui leur fournissent de l'aide
Savoir comment pouvoir se plaindre sur le type d'aide reçu 
Savoir comment pouvoir se plaindre sur la manière dont l'aide est reçue (mauvais comportement des fournisseurs d'aide)
Savoir comment les fournisseurs d'aide doivent se comporter
Autres (merci de préciser)
Je ne sais pas / préfère ne pas répondre</t>
  </si>
  <si>
    <t>Appel téléphonique 
SMS
Twitter
Facebook
WhatsApp
Autre réseau social
Télévision
Journaux
Sur des panneaux informatifs
Sur des posters
Par feuillets
Par des hauts parleurs
En musique
Au théâtre
Dans un film
En personne, face à face (merci de préciser avec qui vous souhaiteriez en discuter)
Autres (Merci de préciser) 
Je ne sais pas / préfère ne pas répondre</t>
  </si>
  <si>
    <t>Face à face à la maison avec le travailleur humanitaire
Face à face dans un bureau ou autre avec le travailleur humanitaire
Lors de réunion communautaire dans les localités / du village
Par téléphone
Par SMS
Par email
Par lettre, courriel
Via un réseau social (Facebook, Twitter, etc.)
Via une boîtes à plaintes / à suggestion
Autres (merci de préciser)
Je ne sais pas / préfère ne pas répondre</t>
  </si>
  <si>
    <t>Cash :
☐ De l'argent pour pouvoir payer mon loyer
☐ De l'argent pour pouvoir acheter du matériel pour (re)construire / renforcer un logement 
☐ De l'argent pour acheter des articles non-alimentaires essentiels
Provision direct de biens:
☐ Provision direct de construction d'abri
☐ Provision direct de matériel pour (re)construire / renforcer un logement 
☐ Provision direct d'articles non-alimentaires essentiels
Provision direct de services:
☐ Aide pour réparer des abris
☐ Aide pour améliorer le niveau de sécurité autour des abris
☐ Autre (merci de préciser)</t>
  </si>
  <si>
    <t>Secal_mssc</t>
  </si>
  <si>
    <r>
      <t>Si accès à SecAl sélectionné : 
Si vous deviez recevoir une assistance, quelle serait votre souhait ?</t>
    </r>
    <r>
      <rPr>
        <sz val="10"/>
        <color rgb="FFFF0000"/>
        <rFont val="Arial Narrow"/>
        <family val="2"/>
      </rPr>
      <t xml:space="preserve"> </t>
    </r>
    <r>
      <rPr>
        <sz val="10"/>
        <rFont val="Arial Narrow"/>
        <family val="2"/>
      </rPr>
      <t>(Classé par ordre de préférence : 1 à 3)</t>
    </r>
  </si>
  <si>
    <t>Cash :
☐ De l'argent pour pouvoir acheter de la nourriture 
☐ De l'argent pour pouvoir acheter des intrants agricoles (semences, engrais, pesticide par exemple)
☐ De l'argent pour pouvoir acheter des intrants d'élevage (aliment bétail, produits vétérinaires, pierres à lécher)
☐ De l'argent pour pouvoir acheter d'autres bien sur le marché
Provision direct de biens:
☐ Provision direct de nourriture
☐  Provision direct d'intrants agricoles (semences, engrais, pesticide par exemple)
☐  Provision direct d'intrants d'élevage (aliment bétail, produits vétérinaires, pierres à lécher)
Provision direct de services:
☐  Conseils sur comment gérer de manière optimale ses activités agraires
☐  Conseils sur comment gérer son argent
☐  Accès à un service de soins vétérinaire
☐ Autre (merci de préciser)</t>
  </si>
  <si>
    <t>Cash :
☐ De l'argent pour payer les frais scolaire
☐ De l'argent pour acheter les fournitures scolaires (sac, stylos, etc.)
☐ De l'argent pour acheter des livres scolaires
☐ De l'argent pour payer le transport jusqu'à l'école
☐ De l'argent pour payer la nourriture à l'école
Provision direct de biens:
☐ Provision direct de fournitures scolaires (sac, stylos, etc.)
☐ Provision direct de livres scolaires
☐ Provision direct d'uniforme scolaire
Provision de services
☐ Avoir accès à des transports jusqu'à l'école
☐ Avoir accès à des repas à l'école
☐ Autres (merci de préciser)</t>
  </si>
  <si>
    <t>Personne dans le ménage n'a souffert d'une maladie durant les 30 derniers jours
OU 
&lt;20% des enfants de moins de 5 ans du ménages ont souffert de diarrhée au cours des 30 derniers jours</t>
  </si>
  <si>
    <t>Entre 40 et 60% des membres du ménage ont souffert d'une maladie durant les 30 derniers jours
OU 
&lt;45% des enfants de moins de 5 ans du ménages ont souffert de diarrhée au cours des 30 derniers jours</t>
  </si>
  <si>
    <t>Plus de 60% des membres du ménage ont souffert d'une maladie durant les 30 derniers jours
OU 
&gt;=45% des enfants de moins de 5 ans du ménages ont souffert de diarrhée au cours des 30 derniers jours</t>
  </si>
  <si>
    <t>&lt;20% des membres du ménage ont souffert d'une maladie durant les 30 derniers jours
OU
&lt;30% des enfants de moins de 5 ans du ménages ont souffert de diarrhée au cours des 30 derniers jours</t>
  </si>
  <si>
    <t>Entre 20 et 40% des membres du ménage ont souffert d'une maladie durant les 30 derniers jours
OU 
&lt;40% des enfants de moins de 5 ans du ménages ont souffert de diarrhée au cours des 30 derniers jours</t>
  </si>
  <si>
    <t>Tous les enfants (de 4 à 18 ans) ont participé à l'école pendant au moins de 6 mois</t>
  </si>
  <si>
    <t>&gt;75% des enfants (de 4 à 18 ans) ont participé à l'école pendant au moins de 6 mois</t>
  </si>
  <si>
    <t>&gt;50% des enfants (de 4 à 18 ans) ont participé à l'école pendant au moins de 6 mois</t>
  </si>
  <si>
    <t>&gt;25% des enfants (de 4 à 18 ans) ont participé à l'école pendant au moins de 6 mois</t>
  </si>
  <si>
    <t>Entre 0 et 25% des enfants (de 4 à 18 ans) ont participé à l'école pendant au moins de 6 mois</t>
  </si>
  <si>
    <t xml:space="preserve">Tous les enfants (de 4 à 18 ans) sont inscrits à l'école </t>
  </si>
  <si>
    <t>&gt;75% des enfants (de 4 à 18 ans) sont inscrits à l'école</t>
  </si>
  <si>
    <t>&gt;50% des enfants (de 4 à 18 ans) sont inscrits à l'école</t>
  </si>
  <si>
    <t>&gt;25% des enfants (de 4 à 18 ans) sont inscrits à l'école</t>
  </si>
  <si>
    <t>Entre 0 et 25% des enfants (de 4 à 18 ans) sont inscrits à l'école</t>
  </si>
  <si>
    <t>Au moins un enfant du ménage travaille ou contribue aux activités professionnelles du ménage mais aucun n'est impliqué dans une activité mettant leur sécurité à risque (Carrière / Mines, recrute, prostitution)</t>
  </si>
  <si>
    <t>Au moins un enfant du ménage travaille ou contribue aux activités professionnelles du ménage et au moins un est impliqué dans une activité mettant sa sécurité à risque (Carrière / Mines, recrute, prostitution)</t>
  </si>
  <si>
    <t>Déplacée depuis moins de 1 mois</t>
  </si>
  <si>
    <t>Déplacée depuis 1 ou 2 mois</t>
  </si>
  <si>
    <t>Déplacée depuis moins de 5 mois</t>
  </si>
  <si>
    <t>Déplacée depuis moins de 1 an</t>
  </si>
  <si>
    <t>Déplacée depuis plus de 1 an</t>
  </si>
  <si>
    <t>Plus de XXX k XAF / pp ET ne dépend pas d'aides / dons / d'emprunts ni de travail journalier ou de transfert d'argent</t>
  </si>
  <si>
    <t>Entre XXX k XAF et  XXX k XAF / pp ET ne dépend pas d'aides / dons / d'emprunts ni de travail journalier ou de transfert d'argent</t>
  </si>
  <si>
    <t>Entre XXX k XAF et  XXX k XAF / pp ET dépend pas d'aides / dons / d'emprunts ou de travail journalier / transfert d'argent</t>
  </si>
  <si>
    <t>Dépend uniquement des aides, dons, emprunts, travail journalier, transfert d'argent ou medicité</t>
  </si>
  <si>
    <t>4-6 scores: Faim sévère</t>
  </si>
  <si>
    <t>0-1 score: Pas ou peu de faim</t>
  </si>
  <si>
    <t>2-3 scores: Faim modérée</t>
  </si>
  <si>
    <t>L'eau provient d'une source améliorée tout le long de l'année et est disponible sur le lieu</t>
  </si>
  <si>
    <t>L'eau provient d'une source améliorée tout le long de l'année et est disponible a moins de 30 minutes (aller-retour et temps d'attente inclu)</t>
  </si>
  <si>
    <t>L'eau provient d'une source améliorée lors de la saison des pluies et/ou est disponible a plus de 30 minutes (aller-retour et temps d'attente inclu)</t>
  </si>
  <si>
    <t>L'eau provient d'une source non-améliorée</t>
  </si>
  <si>
    <t>L'eau provient directement des rivières, lacs, surface, etc.</t>
  </si>
  <si>
    <t>Plus de 50 l/d/p</t>
  </si>
  <si>
    <t>Moins de 3 l/d/p</t>
  </si>
  <si>
    <t>Entre 15 et moins de 50 l/d/p</t>
  </si>
  <si>
    <t>Entre 9 et moins de 15 l/d/p</t>
  </si>
  <si>
    <t>Entre 3 et moins de 9 l/d/p</t>
  </si>
  <si>
    <t>Accès à une toilette / latrine hygiénique /acceptable privée</t>
  </si>
  <si>
    <t>Accès à une toilette / latrine hygiénique /acceptable, partagée avec moins de 20 personnes</t>
  </si>
  <si>
    <t>Accès à une toilette / latrine hygiénique /acceptable, partagée avec plus de 20 personnes</t>
  </si>
  <si>
    <t>Accès à une toilette / latrine non hygiénique /non acceptable</t>
  </si>
  <si>
    <t>Non accès à une toilette / latrine</t>
  </si>
  <si>
    <t>Savon ou cendre utilisée lors du lavage de mains aux moments clés</t>
  </si>
  <si>
    <t>Eau uniquement utilisée lors du lavage de mains aux moments clés</t>
  </si>
  <si>
    <t>Les mains ne sont pas lavées aux moments clés</t>
  </si>
  <si>
    <t>Les mains ne sont jamais lavées</t>
  </si>
  <si>
    <t>Aucun élément malsain visible</t>
  </si>
  <si>
    <t>Au moins deux éléments malsains toujours visible</t>
  </si>
  <si>
    <t>Au moins trois éléments malsains toujours visible</t>
  </si>
  <si>
    <t>Au moins quatre éléments malsains toujours visible</t>
  </si>
  <si>
    <t>Au moins un élément malsain toujours visible</t>
  </si>
  <si>
    <t>Accouchement à la maison involontaire - CS non fonctionnel ou innaccessible</t>
  </si>
  <si>
    <t>La sécurité des hommes et des femmes adultes du ménage n'est pas à risque</t>
  </si>
  <si>
    <t>La sécurité des hommes et des femmes adultes du ménage est à risque</t>
  </si>
  <si>
    <t>La sécurité des garçons et des filles enfants (moins de 18 ans) du ménage n'est pas à risque</t>
  </si>
  <si>
    <t>La sécurité des garçons et des filles enfants (moins de 18 ans) du ménage est à risque</t>
  </si>
  <si>
    <t>Au moins un membre dans le ménage a été forcé de travailler, forcé d’accepter un emploi ou forcé de rester dans un emploi contre son gré</t>
  </si>
  <si>
    <r>
      <rPr>
        <b/>
        <sz val="11"/>
        <color rgb="FFFFFFFF"/>
        <rFont val="Arial Narrow"/>
        <family val="2"/>
      </rPr>
      <t>Ménage vulnérable</t>
    </r>
    <r>
      <rPr>
        <sz val="11"/>
        <color rgb="FFFFFFFF"/>
        <rFont val="Arial Narrow"/>
        <family val="2"/>
      </rPr>
      <t xml:space="preserve">
Le ménage a au moins une personne souffrant de détresse psychologique </t>
    </r>
  </si>
  <si>
    <t>Le ménage se sent discriminé pour l'accès à un des services de bases
ET
ne sait pas s'il existe / n'a pas accès des mécanismes communautaires de support</t>
  </si>
  <si>
    <t>Le ménage se sent discriminé pour l'accès à au moins deux des services de bases
ET
ne sait pas s'il existe / n'a pas accès des mécanismes communautaires de support</t>
  </si>
  <si>
    <t>Le ménage ne se sent pas discriminé pour l'accès aux services de bases ET a accès à des mécanismes communautaires de support</t>
  </si>
  <si>
    <t>Le ménage ne se sent pas discriminé pour l'accès aux servics de bases 
ET
ne sait pas s'il existe / n'a pas accès des mécanismes communautaires de support</t>
  </si>
  <si>
    <t>Le ménage se sent discriminé pour l'accès à au moins un des services de bases
ET a accès à des mécanismes communautaires de support</t>
  </si>
  <si>
    <t>Ménage vulnérable - dirigé par une femme</t>
  </si>
  <si>
    <t>Ménage avec au moins une personne vulnérable à charge (femme enceinte, femme allaitante, enfant séparé ou non-accompagné, personne en situation de handicap)</t>
  </si>
  <si>
    <t>Liste de réponses à contrôler</t>
  </si>
  <si>
    <r>
      <rPr>
        <b/>
        <sz val="10"/>
        <rFont val="Arial Narrow"/>
        <family val="2"/>
      </rPr>
      <t>Instruction</t>
    </r>
    <r>
      <rPr>
        <sz val="10"/>
        <rFont val="Arial Narrow"/>
        <family val="2"/>
      </rPr>
      <t xml:space="preserve"> : Types d’Informateurs clés
1. Personnes arrivées récemment d’un village difficile d’accès 
2. Les informateurs dans la zone difficile d’accès pouvant être joint par téléphone
3. Une personne en contact récent avec une localité difficile d’accès</t>
    </r>
  </si>
  <si>
    <t xml:space="preserve">Bonjour, mon nom est 'NOM DE L'ENQUETEUR' et je travaille pour REACH. 
Nous mettons en place une étude multisectorielle nationale d'évaluation des besoins et nous souhaitons vous poser quelques questions sur la situation dans les localités difficiles d'accès de Centrafrique - niveau de revenus, accès à la nourriture/eau, à la santé, à l'éducation et protection. 
Le questionnaire prendra environ 1 heure. 
Toute information que vous nous donnerez restera strictement anonyme. 
C'est une activité volontaire, et vous être libre pour chaque question de ne pas vouloir répondre et/ou de mettre fin à l'enquête à tout moment du questionnaire. 
Néanmoins, nous espérons que vous participerez car votre point de vue est important. 
Il est également essentiel de comprendre que nous sommes là uniquement pour nous renseigner sur les conditions de vie des habitants de la localité sur laquelle vous avez de l'information et non pas pour apporter une réponse humanitaire. 
Avez-vous des questions ? Est-ce que je peux commencer ? </t>
  </si>
  <si>
    <t>OK</t>
  </si>
  <si>
    <t>Info IC</t>
  </si>
  <si>
    <t>Dans quelle préfecture se situe la localité renseignée?</t>
  </si>
  <si>
    <t>Dans quelle sous-préfecture se situe la localité renseignée?</t>
  </si>
  <si>
    <t>Dans quelle commune se situe la localité renseignée?</t>
  </si>
  <si>
    <t>Quel est le nom de la localité renseignée?</t>
  </si>
  <si>
    <t>Liste admin 4 dans admin 3</t>
  </si>
  <si>
    <t>Au cours du dernier mois, comment avez-vous eu des informations concernant cette localité?</t>
  </si>
  <si>
    <t>Zone inaccessible - KI Interview</t>
  </si>
  <si>
    <t>% de localités recensant les différents groupes de population, par groupe</t>
  </si>
  <si>
    <t>Parmi les groupes démographiques suivants, lesquels sont présents dans votre localité (cocher tout ce qui s'applique)</t>
  </si>
  <si>
    <r>
      <rPr>
        <b/>
        <i/>
        <sz val="10"/>
        <color theme="1" tint="0.499984740745262"/>
        <rFont val="Arial Narrow"/>
        <family val="2"/>
      </rPr>
      <t>Population déplacée en site et lieux de regroupement</t>
    </r>
    <r>
      <rPr>
        <i/>
        <sz val="10"/>
        <color theme="1" tint="0.499984740745262"/>
        <rFont val="Arial Narrow"/>
        <family val="2"/>
      </rPr>
      <t xml:space="preserve"> – toutes les personnes qui ont déplacées en raison de la crise et qui résident actuellement dans les sites et autres lieux de regroupement
</t>
    </r>
    <r>
      <rPr>
        <b/>
        <i/>
        <sz val="10"/>
        <color theme="1" tint="0.499984740745262"/>
        <rFont val="Arial Narrow"/>
        <family val="2"/>
      </rPr>
      <t xml:space="preserve">Population déplacée en famille d’accueil </t>
    </r>
    <r>
      <rPr>
        <i/>
        <sz val="10"/>
        <color theme="1" tint="0.499984740745262"/>
        <rFont val="Arial Narrow"/>
        <family val="2"/>
      </rPr>
      <t xml:space="preserve">– toutes les personnes qui ont été déplacées en raison de la crise et qui résident aujourd’hui en famille d’accueil
</t>
    </r>
    <r>
      <rPr>
        <b/>
        <i/>
        <sz val="10"/>
        <color theme="1" tint="0.499984740745262"/>
        <rFont val="Arial Narrow"/>
        <family val="2"/>
      </rPr>
      <t xml:space="preserve">Population retournée </t>
    </r>
    <r>
      <rPr>
        <i/>
        <sz val="10"/>
        <color theme="1" tint="0.499984740745262"/>
        <rFont val="Arial Narrow"/>
        <family val="2"/>
      </rPr>
      <t xml:space="preserve">– toutes les personnes qui sont retournées dans leurs zone d’origine, cela ne signifie pas nécessairement qu’elles ont rejoint / retrouvée leurs maisons d’origine, ni qu’elles sont exactement dans la même localité (certaines ayant brulé, des retournés ont reconstruits des villages à proximité immédiate de leurs anciens lieux d’habitat)
</t>
    </r>
    <r>
      <rPr>
        <b/>
        <i/>
        <sz val="10"/>
        <color theme="1" tint="0.499984740745262"/>
        <rFont val="Arial Narrow"/>
        <family val="2"/>
      </rPr>
      <t>Population rapatriée</t>
    </r>
    <r>
      <rPr>
        <i/>
        <sz val="10"/>
        <color theme="1" tint="0.499984740745262"/>
        <rFont val="Arial Narrow"/>
        <family val="2"/>
      </rPr>
      <t xml:space="preserve"> – toutes les populations qui sont retournées chez elles, ou sont en cours de retours après avoir passée plusieurs semaines dans un pays étranger. Pour être qualifié de retournée, il y a un nécessaire franchissement de frontières, entre un pays étranger vers la République Centrafricaine. Le retour peut ne pas être définitif</t>
    </r>
  </si>
  <si>
    <t>Localité</t>
  </si>
  <si>
    <t xml:space="preserve">% de localités recensant les différents groupes de population, par proportion d'individus au sein de la localité </t>
  </si>
  <si>
    <t>Pourriez-vous nous dire combien de pourcentage du nombre d'individus total approximativement chacun de ces groupes présents représente dans la localité?</t>
  </si>
  <si>
    <r>
      <t xml:space="preserve">Population hôte : ___%
</t>
    </r>
    <r>
      <rPr>
        <b/>
        <i/>
        <sz val="10"/>
        <color theme="1" tint="0.499984740745262"/>
        <rFont val="Arial Narrow"/>
        <family val="2"/>
      </rPr>
      <t xml:space="preserve">Afficher chacun des groupes sélectionné à la question précédente (total = 100%): </t>
    </r>
    <r>
      <rPr>
        <i/>
        <sz val="10"/>
        <color theme="1" tint="0.499984740745262"/>
        <rFont val="Arial Narrow"/>
        <family val="2"/>
      </rPr>
      <t xml:space="preserve">
Popoulation déplacée en site et lieux de regroupement : ___%
Population déplacée en famille d'accueil : ___%
Population retournée : ___%
Population rapatriée : ___%
Je ne sais pas / ne souhaite pas répondre</t>
    </r>
  </si>
  <si>
    <t>% de localité recensant des déplacés, par raison principale de départ</t>
  </si>
  <si>
    <t>Quelle est la raison principale expliquant la présence de déplacés dans votre localité ?</t>
  </si>
  <si>
    <t>% de déplacés par durée moyenne de déplacement</t>
  </si>
  <si>
    <t>Depuis combien de temps en moyenne les personnes déplacées présents dans votre localité sont-ils partis de leur village d'origine?</t>
  </si>
  <si>
    <t>Moins de 1 mois
Entre 1 et 3 mois
Entre 3 et 5 mois
Entre 5 mois e 1 ans
Plus de 1 an
Je ne sais pas / ne souhaite pas répondre</t>
  </si>
  <si>
    <t>Quelles seraient les conditions requises pour envisager un retour de la majorité des personnes déplacées dans leur localité d'origine ?</t>
  </si>
  <si>
    <t>% de localité recensant des retournés / rapatriés, par raison principale de retour</t>
  </si>
  <si>
    <t xml:space="preserve">Quelle est la raison principale expliquant la présence de retournés / rapatriés dans votre localité </t>
  </si>
  <si>
    <t>% de localité recensant des retournés / rapatriés dont la majorité n'a pas encore rejoint la destination finale</t>
  </si>
  <si>
    <t>Y-a-t-il au sein de votre localité des retournés et / ou rapatrié dont la destination finale n'a pas encore été atteinte ?</t>
  </si>
  <si>
    <t>Non, aucun (0% des retournés / rapatriés)
Quelques retournés / rapatriés (&lt;30% des retournés / rapatriés)
Moins de la moitié des retournés / rapatriés (&gt;30% &amp; &lt;50%)
Plus de la moitié des retournés / rapatriés (entre 51-75% des retournés / rapatriés)
Une large majorité des retournés / rapatriés (&gt;75% des retournés / rapatriés)
Je ne sais pas / ne souhaite pas répondre</t>
  </si>
  <si>
    <t>% de localité recensant des retournés / rapatriés dont la majorité n'a pas encore rejoint la destination finale, par raison</t>
  </si>
  <si>
    <t>Vous indiquez qu'au sein de votre localité, il y des retournés / rapatriés, dont la destination finale n'a pas encore été atteinte, quelle est la principale raison ?</t>
  </si>
  <si>
    <t xml:space="preserve">Est-ce que plus de la moitié de la population a à disposition les articles suivants dans votre localité ? </t>
  </si>
  <si>
    <r>
      <rPr>
        <b/>
        <i/>
        <sz val="10"/>
        <color theme="1" tint="0.499984740745262"/>
        <rFont val="Arial Narrow"/>
        <family val="2"/>
      </rPr>
      <t>NFI:</t>
    </r>
    <r>
      <rPr>
        <i/>
        <sz val="10"/>
        <color theme="1" tint="0.499984740745262"/>
        <rFont val="Arial Narrow"/>
        <family val="2"/>
      </rPr>
      <t xml:space="preserve"> Bâche, Couverture, Kit cuisine complet, </t>
    </r>
    <r>
      <rPr>
        <i/>
        <sz val="10"/>
        <color theme="1" tint="0.499984740745262"/>
        <rFont val="Arial Narrow"/>
        <family val="2"/>
      </rPr>
      <t xml:space="preserve">Supports de couchage (lits, matelas, nattes), Bidons plastique de 20L 
</t>
    </r>
    <r>
      <rPr>
        <b/>
        <i/>
        <sz val="10"/>
        <color theme="1" tint="0.499984740745262"/>
        <rFont val="Arial Narrow"/>
        <family val="2"/>
      </rPr>
      <t>Santé:</t>
    </r>
    <r>
      <rPr>
        <i/>
        <sz val="10"/>
        <color theme="1" tint="0.499984740745262"/>
        <rFont val="Arial Narrow"/>
        <family val="2"/>
      </rPr>
      <t xml:space="preserve"> Moustiquaire 
</t>
    </r>
    <r>
      <rPr>
        <b/>
        <i/>
        <sz val="10"/>
        <color theme="1" tint="0.499984740745262"/>
        <rFont val="Arial Narrow"/>
        <family val="2"/>
      </rPr>
      <t>Protection:</t>
    </r>
    <r>
      <rPr>
        <i/>
        <sz val="10"/>
        <color theme="1" tint="0.499984740745262"/>
        <rFont val="Arial Narrow"/>
        <family val="2"/>
      </rPr>
      <t xml:space="preserve"> documentation légale d'identité (un extrait d’acte de naissance ou une carte d’identité) pour tous les membres de la famille, titre de propriété pour l'ensemble des biens et propriétés 
</t>
    </r>
    <r>
      <rPr>
        <b/>
        <i/>
        <sz val="10"/>
        <color theme="1" tint="0.499984740745262"/>
        <rFont val="Arial Narrow"/>
        <family val="2"/>
      </rPr>
      <t>Moyens de subsitence :</t>
    </r>
    <r>
      <rPr>
        <i/>
        <sz val="10"/>
        <color theme="1" tint="0.499984740745262"/>
        <rFont val="Arial Narrow"/>
        <family val="2"/>
      </rPr>
      <t xml:space="preserve"> semence, outils aratoire
</t>
    </r>
    <r>
      <rPr>
        <b/>
        <i/>
        <sz val="10"/>
        <color theme="1" tint="0.499984740745262"/>
        <rFont val="Arial Narrow"/>
        <family val="2"/>
      </rPr>
      <t>WASH:</t>
    </r>
    <r>
      <rPr>
        <i/>
        <sz val="10"/>
        <color theme="1" tint="0.499984740745262"/>
        <rFont val="Arial Narrow"/>
        <family val="2"/>
      </rPr>
      <t xml:space="preserve"> savon de toilette azur, savon de lessive, Seau avec couvercle de 20 L ; Pot pour bébé ; eau plastique avec couvercle de 20 litres ; Gobelet de 250 ml ; Serviette Hygiénique</t>
    </r>
  </si>
  <si>
    <t xml:space="preserve"> % de localités par type d'abris</t>
  </si>
  <si>
    <t>Au cours des 30 derniers jours, quel était le PRINCIPAL type d'abri utilisé par la communauté locale à [nom de la localité]?</t>
  </si>
  <si>
    <t xml:space="preserve"> % de localités dont la majorité (plus de la moitié) des ménages partagent leur foyer avec un autre ménage</t>
  </si>
  <si>
    <t>Est-ce que certains des ménages accueillent un autre ménage au sein de leur foyer ?</t>
  </si>
  <si>
    <t>Non, aucun (0% des ménages)
Quelques ménages (&lt;30% des ménages)
Moins de la moitié des ménages (&gt;30% &amp; &lt;50%)
Plus de la moitié des ménages (entre 51-75% des ménages) 
Une large majorité des ménages (&gt;75% des ménages)
Je ne sais pas / ne souhaite pas répondre</t>
  </si>
  <si>
    <t>% de localité où plus de la moitié des ménages vivent dans des abris sous-dimensionnés (moins de 3.5m2/pp)</t>
  </si>
  <si>
    <t>D'après vous, est-ce que certains des ménages vivent dans des abris sous-dimensionnés (moins de 3.5m2/pp) ?</t>
  </si>
  <si>
    <t>% de localités par inquiétude exprimée vis-à-vis de leur situation en NFI/abris</t>
  </si>
  <si>
    <t>Afin de clarifier notre discussion concernant le logement et les articles non-alimentaires, quelle est la plus grande inquiétude actuellement de la majorité (plus de la moitié des habitants) des habitants de votre localité ?</t>
  </si>
  <si>
    <t>Etre capable d'avoir des maisons construites avec des matériaux adéquats (brique, porte, fenêtre, tôle, cadenas, etc.)
Etre capable d'accéder aux articles non-alimentaires essentiels
Aucun problème en particulier
Je ne sais pas / ne souhaite pas répondre</t>
  </si>
  <si>
    <t>% de localités par type de réponse humanitaire souhaitée</t>
  </si>
  <si>
    <t>Si inquiétude exprimée
D'après vous, quel seraient les 3 types de réponses les plus utiles pour aider à l'amélioration de la situation de la majorité de la population vis-à-vis des logements ou des bien non-alimentaires ?</t>
  </si>
  <si>
    <t>Revenu moyen mensuel au cours des derniers 90 jours (en XAF) estimé par ménage dans la localité</t>
  </si>
  <si>
    <t>Pouvez-vous estimer quel a été le revenu mensuel total moyen des ménages de votre localité, en moyenne sur les 90 derniers jours ?</t>
  </si>
  <si>
    <t>Aucun
Moins de 50 000 XAF
Entre 50 001 et 100 000 XAF
Entre 100 001 et  150 0000 XAF
Entre 150 001 et 200 000 XAF
Entre 200001 et 300 000 XAF
Entre 300 001 et 500 000 XAF
Plus de 500 001 XAF
Je ne sais pas / ne souhaite pas répondre</t>
  </si>
  <si>
    <t>% de localités, par source principale de revenu</t>
  </si>
  <si>
    <t>Au cours des 90 derniers jours, quelles ont été les 3 principales sources de revenu des ménages de votre localité ?</t>
  </si>
  <si>
    <t>% de localités par dépenses mensuelles moyennes par ménage, par catégorie</t>
  </si>
  <si>
    <t>Pouvez-vous estimer les 3 plus grandes catégories de dépense (par ordre d'importance) pour la majorité des ménages au cours des 30 derniers jours ?</t>
  </si>
  <si>
    <t>% de localités par dépenses semestrielles moyennes par ménage, par catégorie</t>
  </si>
  <si>
    <t xml:space="preserve">Et parmi les catégories suivantes, pouvez-vous estimer les 3 plus grandes catégories de dépense (par ordre d'importance) pour la majorité des ménages au cours des 6 derniers jours ? </t>
  </si>
  <si>
    <t>% de localités dont plus de la moitié de la population est membre d’associations ou de groupements tels que AVEC, tontine, EPC, etc.</t>
  </si>
  <si>
    <t xml:space="preserve">Quelle proportion de la population est membre d'une association ou groupement (AVEC, tontine, EPC, etc) ? </t>
  </si>
  <si>
    <t>Une large majorité de la population (&gt;75%) est membre d'une association ou groupement
Plus de la moitié de la population (&gt;50% &amp; &lt;75%) est membre d'une association ou groupement
Moins de la moitié de la population (&gt;30 % &amp; &lt;50%) est membre d'une association ou groupement
Une petite proportion de la population (&lt;30%) est membre d'une association ou groupement
Personne (0%) est membre d'une association ou groupement
Je ne sais pas / ne souhaite pas répondre</t>
  </si>
  <si>
    <t>% de localités dont plus de la moitié de la population à un accès à des initiatives de formation professionnelle métiers</t>
  </si>
  <si>
    <t>Au cours des 30 derniers jours, quelle proportion de la population de votre localité avait accès à une formation professionnelle métier à distance de marche ?</t>
  </si>
  <si>
    <t>Une large majorité de la population (&gt;75%) avait accès à une formation professionnelle métier
Plus de la moitié de la population (&gt;50% &amp; &lt;75%) avait accès à une formation professionnelle métier
Moins de la moitié de la population (&gt;30 % &amp; &lt;50%) avait accès à une formation professionnelle métier
Une petite proportion de la population (&lt;30%) avait accès à une formation professionnelle métier
Personne (0%) n'avait accès à une formation professionnelle métier
Je ne sais pas / ne souhaite pas répondre</t>
  </si>
  <si>
    <t xml:space="preserve">% de localités où plus de la moitié de la population n'a pas pu pratiquer l’agriculture au cours de cette saison, par raison </t>
  </si>
  <si>
    <t>Est-ce que plus de la moitié des habitants peut pratiquer l’agriculture au cours de cette saison ?</t>
  </si>
  <si>
    <t>Oui
Non
Je ne sais pas / préfère ne pas répondre
Si non, quelles en sont les 3 principales raisons ? 
Pas d’accès à la terre / Parcelle trop loin / Manque de terre
Insécurité lors de la culture ou la récolte
Manque de semences / outils 
Manque / Insuffisance de main d’œuvre 
Sols trop pauvres
Manque / Insuffisance de pluie  
Inondation                    
Jamais cultivé / Autres sources de revenu 
Manque de moyens financiers
Autre (à préciser) : _______________
Je ne sais pas ou je ne souhaite pas répondre</t>
  </si>
  <si>
    <t>% de localités dont plus de la moitié de la population a un accès adéquat à la nourriture</t>
  </si>
  <si>
    <t>Au cours des 7 derniers jours, quelle proportion de la population avait accès à suffisamment de nourriture à [nom de la localité]?</t>
  </si>
  <si>
    <t>Une large majorité de la population (&gt;75%) avait accès à suffisamment de nourriture
Plus de la moitié de la population (&gt;50% &amp; &lt;75%) avait accès à suffisamment de nourriture
Moins de la moitié de la population (&gt;30 % &amp; &lt;50%) avait accès à suffisamment de nourriture
Une petite proportion de la population (&lt;30%) avait accès à suffisamment de nourriture
Personne (0%) n'avait accès à suffisamment de nourriture
Je ne sais pas / ne souhaite pas répondre</t>
  </si>
  <si>
    <t>% de localités dont plus de la moitié de la population consomme régulièrement (au moins 3 fois par semaine) certains aliments, par catégories principales d'aliments consommés</t>
  </si>
  <si>
    <t>Au cours des 7 derniers jours, quels types d'aliments étaient régulièrement (au moins 3 fois par semaine) consommés par au moins la moitié de la population à [nom de la localité]?</t>
  </si>
  <si>
    <r>
      <t>Céréales, Racines, tubercules  (sorgho, mil, maïs, blé, riz, pain/galette, beignets, farine, pâtes alimentaire, manioc, pomme de terre, patates douces, ignames, et autres tubercules) (x2)
Légumineuses / noix (haricots, arachides, lentilles, amande, et/ou autre noix) (x3)
Lait et autres produits laitiers (Lait frais / aigri, yaourt, fromage, autre produits laitiers SAUF margarine / beurre ou de petites quantités de lait pour le thé / café (Lait en poudre : seulement si des verres de lait en poudre sont consommés))  (x4)
Viande, Poisson, Œufs (chèvres, mouton, bœuf, poulets, fruits de mer, thon en boite, chenilles, termites, etc.) (x4)
Légumes et feuilles vertes (carotte, poivron rouge, citrouille,  oignon, tomates, concombre, haricot vert, petit pois, champignon, etc.) (x1)
Fruits (mangue, papaye, banane, pomme, citron, mandarine, orange, goyave, etc.) (x1)   
Huile / gras / beurre (huile de cuisson, beurre de karité, margarine, autres gras/huile) (x0.5)
Sucre ou produits sucré (miel, confiture, beignets, bonbons, biscuits, pâtisseries, gâteaux et autre produits sucré) (x0.5)
Epices / condiments (thé, café/cacao, sel, ail, épices, levure/poudre à pâte, tomate/sauce piquante, autres condiments y compris petite quantité de lait pour le thé/café) (x0</t>
    </r>
    <r>
      <rPr>
        <i/>
        <strike/>
        <sz val="10"/>
        <color rgb="FFFF0000"/>
        <rFont val="Arial Narrow"/>
        <family val="2"/>
      </rPr>
      <t/>
    </r>
  </si>
  <si>
    <t>% de localités par principale source de nourriture</t>
  </si>
  <si>
    <t xml:space="preserve">Par catégorie alimentaire consommée régulièrement au cours des 7 derniers jours :
Et comment ces aliments sont-ils le plus souvent acquis ? </t>
  </si>
  <si>
    <t>% de localités dont au moins la moitié de la population n'a pas eu accès à un marché fonctionnel au cours des 7 derniers jours, à distance de marche, par raison</t>
  </si>
  <si>
    <t>Au cours des 7 derniers jours, y-avait-t-il pour au moins la moitié de la population un marché fonctionnel à distance de marche depuis [nom de la localité]?</t>
  </si>
  <si>
    <t>1. Il n'y a pas de marchés à distance de marche dans la zone (aller-retour impossible dans la journée) ; 
2. Il y a un marché dans la zone, mais plus de la moitié de la population ne peut pas s'y rendre (insécurité sur la route, absence de moyens de transport)
3. Un marché est accessible, mais les prix sont trop élevé, et la moitié de la population ne peut pas s'y approvisionner complètement par conséquent
4. Un marché est accessible, mais il n'est pas correctement approvisionné en biens alimentaires ; 
5. Un marché est accessible, mais il n'est pas correctement approvisionné en articles non-alimentaires ;
6. Un marché est accessible, approvisionné, et à prix abordable pour plus de la moitié de la population ;</t>
  </si>
  <si>
    <t>% de localité par stratégie de survie (LCS)</t>
  </si>
  <si>
    <t>Au cours des 30 derniers jours, est-ce que plus de la moitié des ménages ont dû faire l’une des choses suivantes parce qu'il n'y avait pas assez de nourriture ou d'argent pour l'acheter ?</t>
  </si>
  <si>
    <t>1 = Non, parce qu'ils n'en ont pas besoin
2 = Non, parce que ces actifs ont déjà été vendu ou cette activité a déjà été menée au cours des 12 derniers mois
3 = Oui 
4 = La majorité de ces actifs ont déjà été vendu ou cette activité a déjà été menée il y a plus de 12 mois déjà
5 = Non pertinent
Vendre des actifs non productifs du ménage (radio, meubles, réfrigérateur, télévision, bijoux, etc.)
Vendre des actifs productifs ou moyens de transport (matériel agricole, machine à coudre, brouette, vélo, voiture, etc.)
Réduire les dépenses non alimentaires essentielles telles que l’éducation, la santé
Dépenser l’épargne
Emprunter de l’argent/nourriture à un préteur officielle/banque
Retirer les enfants de l’école
Vendre la maison, la parcelle de terrain ou le champ
Engager un membre de la famille dans des activités risquées ou illégales génératrices de revenus (vols, vente de la drogue, travail avec groupes armés, prostitution, etc.)
Mendier
Vendre plus d’animaux (non-productifs) que d’habitude
Consommation des semences</t>
  </si>
  <si>
    <t>% de localité par inquiétude exprimée vis-à-vis de la situation à l'accès à la nourriture / aux intrants agraires / accès au marché pour au moins la moitié de la population</t>
  </si>
  <si>
    <t>Afin de clarifier notre discussion concernant la nourriture, l'agriculture et l'accès au marché dans votre localité, quelle est votre plus grande inquiétude actuellement pour au moins la moiité des habitnts de votre localité ?</t>
  </si>
  <si>
    <t>Etre capable d'avoir suffisamment de nourriture
Etre capable d'accéder à des intrants pour l'élevage 
Etre capable d'accéder à des intrants pour la pêche
Etre capable d'accéder à des intrants agricoles
Etre capable d'accéder à leurs champs
Etre capable d'accéder à un marché approvisionné en biens alimentaires
Etre capable d'accéder à un marché approvisionné en biens non-alimentaires
Autre
Aucun problème particulier</t>
  </si>
  <si>
    <t>% de localité par type de réponse humanitaire souhaitée</t>
  </si>
  <si>
    <t>Si inquiétude exprimée
D'après vous, quel seraient les 3 types de réponses les plus utiles pour la aider à améliorer la situation de la majorité de la population vis-à-vis de l'accès à la nourriture, à l'agriculture et aux marchés ?</t>
  </si>
  <si>
    <t>Cash :
☐ De l'argent pour pouvoir acheter de la nourriture 
☐ De l'argent pour pouvoir acheter des intrants agricoles (semences, engrais, pesticide par exemple)
☐ De l'argent pour pouvoir acheter des intrants d'élevage (aliment bétail, produits vétérinaires, pierres à lécher)
☐ De l'argent pour pouvoir acheter d'autres bien sur le marché
☐ ...
Provision direct de biens:
☐ Provision direct de nourriture
☐ Provision direct d'intrants agricoles (semences, engrais, pesticide par exemple)
☐ Provision direct d'intrants d'élevage (aliment bétail, produits vétérinaires, pierres à lécher)
☐ ...
Provision de services
☐ Conseils sur comment gérer de manière optimale ses activités agraires
☐ Conseils sur comment gérer son argent
☐ Accès à un service de soins vétérinaire
☐ ...
Aucune</t>
  </si>
  <si>
    <t>% de localité dont plus de la moitié des habitants ont accès à une source d'eau améliorée au cours des 7 derniers jours pour boire</t>
  </si>
  <si>
    <t>Au cours des 7 derniers jours, quelles étaient les principales sources d'eau utilisées pour boire par la majorité (plus de la moitié) de la population à [nom de la localité] utilise?</t>
  </si>
  <si>
    <t>1. Eau du robinet / fontaine publique
2. Forage mécanique
3. Forage manuel
4. Puits protégé
5. Puits NON protégé
6. Bouteilles d'eau / sachets d'eau
7. Eau amenée par camion
8. Source aménagée
9. Source NON aménagée
10. Eau de pluie
11. Cours d'eau (fleuve, rivière, ruisseau, eau de surface, etc.), lac / étang / mare ou Flaque / Eau stagnante
12. Autre (merci de préciser) 
13. Je ne sais pas</t>
  </si>
  <si>
    <t>% de localité dont plus de la moitié des habitants ont accès à une source d'eau améliorée au cours des 7 derniers jours pour les autres usages (Cuisine, vaisselle, lessive, jardininage)</t>
  </si>
  <si>
    <t>Au cours des 7 derniers jours, quelles étaient les principales sources d'eau utilisées pour pour les autres usages (pour cuisiner, pour des raisons hygiéniques, pour se laver ou laver) par la majorité (plus de la moitié) de la population à [nom de la localité] ?</t>
  </si>
  <si>
    <r>
      <t>Au cours des 7 derniers jours, combien de temps cela prend-il</t>
    </r>
    <r>
      <rPr>
        <b/>
        <sz val="10"/>
        <color theme="4"/>
        <rFont val="Arial Narrow"/>
        <family val="2"/>
      </rPr>
      <t xml:space="preserve"> </t>
    </r>
    <r>
      <rPr>
        <sz val="10"/>
        <color theme="1" tint="0.499984740745262"/>
        <rFont val="Arial Narrow"/>
        <family val="2"/>
      </rPr>
      <t xml:space="preserve"> pour la MAJORITE de la population de la localité pour rejoindre la source d'eau principale, récupérer l'eau et revenir (incluant le temps d'attente à la source)?</t>
    </r>
  </si>
  <si>
    <t>1. L'eau est accessible sur le lieu
2. Il faut moins de 5 minutes pour récupérer l'eau et revenir
3. Il faut entre 5 et 15 minutes pour récupérer l'eau et revenir
4. Il faut entre 16 et 30 minutes pour récupérer l'eau et revenir
5. Il faut plus de 31 minutes pour récupérer l'eau et revenir</t>
  </si>
  <si>
    <t>% de localités où la population a accès au point d'eau en saison sèche et humide</t>
  </si>
  <si>
    <t>Est-ce que la PRINCIPALE source d'eau que la majorité de la population utilise est disponible durant la saison sèche et la saison des pluie?</t>
  </si>
  <si>
    <t>Oui ;
 Non
Je ne sais pas / préfère ne pas répondre</t>
  </si>
  <si>
    <t>% de localité où la majorité de la population a eu accès à suffisamment d'eau au cours des 7 derniers jours, par type de besoin</t>
  </si>
  <si>
    <t xml:space="preserve">Au cours des 7 derniers jours, est-ce que la MAJORITE de la population a eu accès à suffisamment d'eau pour les besoins suivants :  
</t>
  </si>
  <si>
    <t>Suffisamment d'eau pour… 
Boire (oui, Non, Je ne sais pas / préfère ne pas répondre )
Cuisinier (oui, Non, Je ne sais pas / préfère ne pas répondre )
Hygiène personnelle (se laver) (oui, Non, Je ne sais pas / préfère ne pas répondre )
Autres buts domestiques (nettoyer la maison, le sol, etc.) (oui, Non, Je ne sais pas / préfère ne pas répondre )</t>
  </si>
  <si>
    <t>% de localité faisant face à des difficultés d'accès à l'eau</t>
  </si>
  <si>
    <t xml:space="preserve">Globalement, est-ce que la majorité de la population a accès à suffisamment d'eau pour remplir ses besoins essentiels ? </t>
  </si>
  <si>
    <t>Plus que suffisant 
Suffisant
Juste assez 
Insuffisant 
Pas suffisant du tout</t>
  </si>
  <si>
    <t>% de localité faisant face à des difficultés d'accès à l'eau, par type de difficultés</t>
  </si>
  <si>
    <t xml:space="preserve">Si "juste assez suffisant", "insuffisant", ou "pas suffisant du tout", quelle est la principale raison pour laquelle la majorité de la population n'arrive pas à répondre à ses besoins en eau ? </t>
  </si>
  <si>
    <t>1.La distance au point d'eau est trop grande
2. La route est difficile d’accès
3. Certains groupes (enfants, femmes, personnes âgées, minorités ethniques) n’ont pas accès aux sources d’eau
4. La route ou le lieu de d'accès à l'eau est trop dangereux
5. L'attente est trop longue / nombre insuffisant de sources d’eau
6. La source d’eau ne fonctionne pas / est fermée
7. L’eau n’est pas disponible au marché
8. Pas de moyens financiers / l’eau est trop cher
9. Pas assez de récipients pour stocker l’eau
10. La qualité de l’eau n’est pas bonne (l'eau est brunâtre, odorante ou salée)
11.Pas de ressources en eau
12. Autre (merci de préciser) 
13 Je ne sais pas / préfère ne pas répondre</t>
  </si>
  <si>
    <t>% de localités n'ayant pas accès à des infrastructures sanitaires hygiéniques au cours des 7 derniers jours, par type d'infrastructure sanitaire</t>
  </si>
  <si>
    <t>Au cours des 7 derniers jours, quel type d'infrastructures sanitaires (toilettes ou latrines) a utilisé la MAJORITE de la population ?</t>
  </si>
  <si>
    <t>Toilette / latrine hygiénique acceptable
Latrine non hygiénique / non acceptable
Défécation à l'air libre sans zone précise
Défécation à l'air libre dans le cours d'eau 
Défécation à l'air libre dans une zone précise et contrôlée 
Autre
Je ne sais pas / préfère ne pas répondre</t>
  </si>
  <si>
    <t>% de localités dont les ménages partagent leurs latrines avec plus de 20 personnes</t>
  </si>
  <si>
    <t>Y-a-t-il dans votre localité au cours des 7 derniers jours, des latrines utilisées par plus de vingt personnes ?</t>
  </si>
  <si>
    <t>Oui
Non
Je ne sais pas ou je ne souhaite pas répondre
Si oui Nombre de ménages moyen et nombre de personnes moyen</t>
  </si>
  <si>
    <t>% de localités dont les ménages utilisent des latrines communautaires séparées par sexe</t>
  </si>
  <si>
    <t>S'il existe dans la localité des latrines utilisées par plus de 20 personnes : 
Combien de latrines communautaires utilisées dans votre localité sont séparées par genre?</t>
  </si>
  <si>
    <t>Une large majorité (&gt;75%) sont séparées par genre 
Plus de la moitié (&gt;50% &amp; &lt; 75%) sont séparées par genre 
Moins de la moitié (&lt;30 &amp; &gt; 50%) sont séparées par genre 
Très peu (&lt;30%) sont séparées par genre
Aucune (0%) sont séparées par genre</t>
  </si>
  <si>
    <t>% de localités dont les ménages utilisent des latrines communautaires comprenant un espace réservé aux femmes</t>
  </si>
  <si>
    <t>S'il existe dans la localité des latrines utilisées par plus de 20 personnes : 
Combien de latrines communautaires utilisées dans votre localité comprennent un espace réservé aux femmes pour leur hygiènne menstruelle ?</t>
  </si>
  <si>
    <t>Une large majorité (&gt;75%) ont un espace réservé aux femmes
Plus de la moitié (&gt;50% &amp; &lt; 75%) ont un espace réservé aux femmes
Moins de la moitié (&lt;30 &amp; &gt; 50%) ont un espace réservé aux femmes
Très peu (&lt;30%) ont un espace réservé aux femmes
Aucune (0%) ont un espace réservé aux femmes</t>
  </si>
  <si>
    <t xml:space="preserve">% de localités n'étant pas entièrement satisfait de leur accès aux infrastructures sanitaires, par raison </t>
  </si>
  <si>
    <t>Au cours des 7 derniers jours, quelles sont les 3 principales sources d'insatisfaction de la majorité de la population par rapport à l'accès aux latrines / toilettes ?</t>
  </si>
  <si>
    <t>Aucune source d'insatisfaction
Il n'y a pas assez de latrines ou trop de monde utilisant les mêmes infrastructures
Les infrastructures sanitaires (latrines ou toilettes) ne fonctionnent pas ou sont pleines
Les infrastructures sanitaires (latrines ou toilettes) ne sont pas propres / pas hygiéniques
Les infrastructures sanitaires (latrines ou toilettes) ne sont pas séparées par genre
Les infrastructures sanitaires (latrines ou toilettes) sont trop éloignées
Les infrastructures sanitaires (latrines ou toilettes) sont difficile d'accès (chemin en mauvais état)
Aller jusqu'aux infrastructures sanitaires (latrines ou toilettes) est dangereux
Certains groupes (enfants, femmes, personnes âgées, minorités ethniques) n’ont pas accès aux infrastructures sanitaires (latrines ou toilettes)
Autres (merci de préciser) 
Je ne sais pas / préfère ne pas répondre</t>
  </si>
  <si>
    <t xml:space="preserve">Existence de dispositifs de lavage de mains </t>
  </si>
  <si>
    <t>Existe-t-il des dispositifs de lavage de main dans votre localité</t>
  </si>
  <si>
    <t>Oui
Non
Je ne sais pas / préfère ne pas répondre
Si oui nombre de dispositifs</t>
  </si>
  <si>
    <t>Durée moyenne pour aller au dispositif de lavage de mains</t>
  </si>
  <si>
    <t xml:space="preserve">Combien de temps cela prend-t-il pour la majorité des habitants de votre localité pour rejoindre le lieu de lavage des mains, se laver les mains et revenir (inclure l'attente) ? </t>
  </si>
  <si>
    <t>Accès à un dispositif de lavage des mains sur le lieu
Moins de 5 minutes 
Entre 5 et 15 minutes
Entre 16 et 30 minutes 
Plus de 31 minutes
Il n'y a pas de dispositif de lavage des mains
Je ne sais pas / préfère ne pas répondre</t>
  </si>
  <si>
    <t>% de localités faisant face à des problèmes sanitaires environnementaux
&amp;
% de localités vivant dans des zones où des déchets sont visibles par une majorité de la population dans les derniers 30 jours</t>
  </si>
  <si>
    <t>Au cours des 30 derniers jours, est-ce dans la majorité des ménages, il était possible de voir autour des logements (30 mètre ou moins) : Déchets solides ou ordures ; Excréments humains ; Eau stagnante ; Animaux morts ; Rongeurs ; Autre (précisez)</t>
  </si>
  <si>
    <t>% de localités par type de support souhaité</t>
  </si>
  <si>
    <t xml:space="preserve">Afin de clarifier notre discussion concernant l'eau, l'hygiène et l'assainissement, quelle est la plus grande inquiétude actuellement concernant votre localité (rank 1 to 3) 
</t>
  </si>
  <si>
    <t>Si "incertitude", si dans votre localité vous devriez recevoir une assistance pour adresser l'inquiétude exprimée, d'après-vous quelles seraient les 3 réponses les plus utiles pour améliorer la situation concernant l'eau, l'hygiène et l'assainissement dans votre localité ? (Merci d'évaluer la plus utile à la troisième plus utile)</t>
  </si>
  <si>
    <t>Cash :
☐ De l'argent pour acheter des articles pour aller chercher de l'eau (des récipients par exemple) ou pour acheter de l'eau
☐ De l'argent pour acheter pouvoir construire ou améliorer les infrastructures sanitaires (toilettes ou latrines) 
☐ De l'argent pour acheter des articles hygiéniques (savon, couches pour bébés, serviettes hygiéniques, brosse à dent ou dentifrices par exemple)
☐ ...
Provision direct de biens:
☐ Provision direct d'articles pour aller chercher de l'eau (des récipients par exemple) ou pour acheter de l'eau
☐ Provision direct d'eau (par camion d'eau)
☐ Construction / amélioration de points d'eau
☐ Construction / amélioration d'infrastructures sanitaires (toilettes ou latrines) 
☐ Provision direct d'articles hygiéniques (savon, couches pour bébés, serviettes hygiéniques, brosse à dent ou dentifrices par exemple)
☐ ...
Provision de services
☐ Conseils sur construction / améliorer les points d'eau
☐ Conseils sur comment assainir l'eau
☐ Conseils sur construction / améliorer des infrastructures sanitaires (toilettes ou latrines) 
☐ Conseils / renseignement sur l'hygiène personnelle
☐ ...
Aucune</t>
  </si>
  <si>
    <t>% des localités couvertes par un service de maternité opérationnelle</t>
  </si>
  <si>
    <t>Ou est-ce que la majorité des femmes (plus de la moitié) vont généralement accoucher dans votre localité?                                
- A la maison? Si oui, quelles sont les 3 principales raisons pour accoucher à domicile ? (c.f. liste de réponses proposées)
- Au Centre de Santé?
- Autre (merci de préciser)</t>
  </si>
  <si>
    <t>1. La maternité ou centre de santé est fermée ou non fonctionnelle (Occupée par des groupes armés ; Partiellement / totalement endommagée ; Occupée par des IDPs ; Manque de personnels soignant qualifiés)
2. L'accès à la maternité ou au centre de santé n'est pas sûr (Ce n’est pas sûr de faire le trajet jusqu’à la maternité ou le centre de santé ; Risque d’enlèvements, de violence contre les patients (violences corporelles, harcèlement))
3. La maternité ou le centre de santé est financièrement inaccessible (Les charges sont trop élevées ; Les moyens de transport sont trop chers)
4. Physiquement impossible pour les mères enceintes de se rendre à la maternité ou centre de santé (enfants à charge à la maison ; distance avec la maternité ou le centre de santé ; Aucun transport n’est disponible)
5. La maternité ou le centre de santé est surpeuplé
6. Il manque du personnel pour gérer la maternité ou le centre de santé (Manque de personnels ; manque de personnels qualifiés)
7. Les infrastructures de la maternité ou du centre de santé sont mauvaises (Le bâtiment est dans un mauvais état (e.g. manque de matériels, manque d’électricité, fuite d’eau, manque de latrines, etc.) ; Les infrastructures en eau sont dans un mauvais état (entretien des latrines, odeurs, ségrégation du genre, etc.))
8. Les femmes bénéficient généralement d'un accouchement assisté par une personne qualifiée à domicile
9. Les femmes ne souhaitent généralement pas rejoindre une maternité ou un centre de santé pour accoucher (pour causes de coutumes / traditions)
10. Je ne sais pas / ne souhaite pas répondre</t>
  </si>
  <si>
    <t>% des localité par lieu principal choisi pour se faire soigner</t>
  </si>
  <si>
    <t>Ou est-ce que la majorité (plus de la moitié) des habitants de votre localité vont pour se faire soigner?</t>
  </si>
  <si>
    <r>
      <t xml:space="preserve">Formation Sanitaire (FOSA) </t>
    </r>
    <r>
      <rPr>
        <i/>
        <sz val="10"/>
        <color theme="1" tint="0.499984740745262"/>
        <rFont val="Arial Narrow"/>
        <family val="2"/>
      </rPr>
      <t xml:space="preserve">
Hôpital
Centre de santé 
Poste de santé
Il n'y a aucun accès à un centre de soin fonctionnel à distance de marche pour les habitants de la localité
Je ne sais pas / ne souhaite pas répondre</t>
    </r>
  </si>
  <si>
    <t>% de localité n'ayant actuellement pas accès à un centre de soin fonctionnel à distance de marche, par raison</t>
  </si>
  <si>
    <t>Si 'aucun accès à un centre de soin focntionnel':
Quelle est la barrière principale pour l'accès aux services de soin pour la population de [nom de la localité]?</t>
  </si>
  <si>
    <t>Les infrastructures ont été détruites par des catastrophes naturelles (inondation, incendie, etc.) - Si oui depuis combien de temps?
Les infrastructures ont été détruites durant les combats - Si oui depuis combien de temps?
Il n'y a jamais eu d'infrastructures de santé à proximité
Il n'y a pas de médicaments disponibles - Si oui depuis combien de temps?
Il n'y a pas de travailleurs de santé dans la zone - Si oui depuis combien de temps?
L'insécurité est trop forte dans la zone
Les infrastructures sont trop éloignées
Le ménage n’a pas les ressources financières pour s’octroyer des soins médicaux
Le ménage estime que la qualité des soins fournis n’est pas suffisante</t>
  </si>
  <si>
    <t xml:space="preserve">% de localité ayant subi des attaques contre le système de santé pendant les  3 dernuiers mois. </t>
  </si>
  <si>
    <t>Au cours des 3 derniers mois y'a-il eu dans votre localité des actes de violence qui ont empeché ...
- le fonctinnement d'une structure de santé? 
- le personnel de santé de travailler ou a été forcé à fuire? 
- un malade de se rendre dans une structure de soins? 
- une ambualnce de transporter un malade ?</t>
  </si>
  <si>
    <t xml:space="preserve">Oui ; Si oui, combien ?
Non
Je ne sais pas / ne souhaite pas répondre </t>
  </si>
  <si>
    <t>% de localité par type de maladie principale  pour les enfants de moins de 5 ans au cours des 30 derniers jours</t>
  </si>
  <si>
    <t>Au cours des 30 derniers jours, quelle était le principal problème de santé pour les enfants de moins de 5 ans dans la localité?</t>
  </si>
  <si>
    <t>% de localité par type de maladie principale  pour les personnes de 5 ans ou plus au cours des 30 derniers jours</t>
  </si>
  <si>
    <t>Au cours des 30 derniers jours, quelle était le principal problème de santé pour les personnes de plus de 5 ans de la localité?</t>
  </si>
  <si>
    <t xml:space="preserve"> % de localités par cause principale de décès parmi la population au cours des 90 derniers jours</t>
  </si>
  <si>
    <t>Au cours des 90 derniers jours, quelles étaient les 3 causes principales de décès parmi la population à [nom de la localité]?</t>
  </si>
  <si>
    <t>Décès suite à un accident de travail
Décès suite à un accident lié au conflit armé (conflit / violence)
Décès suite à un accident de la route (accident de voiture, moto, bus, etc.)
Décès suite à une catastrophe naturelle (inondation, éboulements de terrain, incendie, etc.) 
Décès suite à une morsure / piqûre animale / attaque animale ( Paludisme / Rage)
Décès suite à une maladie
Décès suite à un manque de nourriture (Famine / Malnutrition)
Causes naturelles de décès (ex. âge) 
Autre</t>
  </si>
  <si>
    <t>% de localité dont la majorité (plus de la moitié) des ménages font face à des difficutlés d'accès à la santé</t>
  </si>
  <si>
    <t xml:space="preserve">Globalement, pensez-vous que l'accès à un service de santé pour la majorité de la population est ... ? </t>
  </si>
  <si>
    <t>% d’enfants de moins de 5 ans évalué comme souffrant de malnutrition au cours des 90 derniers jours</t>
  </si>
  <si>
    <t>Ya-il des enfants de moins de 5 ans souffrant de la malnutrition (en langue locale) dans votre communauté?</t>
  </si>
  <si>
    <t>Oui
Non
Je ne sais pas ou je ne souhaite pas répondre</t>
  </si>
  <si>
    <t>% de localité comprenant actuellement un centre de prise en charge de la malnutrition</t>
  </si>
  <si>
    <t>Y a-t-il des centres de prise en charge de la malnutrition dans votre localité ?</t>
  </si>
  <si>
    <t>Oui - Si oui, combien de temps en moyenne faut-il à un habitant de votre localité pour s'y rendre?
Non
Je ne sais pas ou je ne souhaite pas répondre</t>
  </si>
  <si>
    <t>% d’enfants de moins de 5 ans ayant été traité dans une UNT / UNTA</t>
  </si>
  <si>
    <t>Si des cas de malnutrition sont déclarés : 
Combien d'enfants de la commune en situation de mal nutrition sont traités en centre nutritionnel ?</t>
  </si>
  <si>
    <t>1. Aucun des enfants mal nourri (0%) sont traités
2. Peu d'enfants mal nourris (&lt;30%) sont traités
3. Moins la moitié des enfant mal nourris (&gt;30% et &lt;50%) sont traités
4. Une majorité des enfants mal nourris (&gt;50% &amp; &lt;75%) sont traités
5. Une large majorité des enfants étant mal nourri (&gt;75%) sont traités</t>
  </si>
  <si>
    <t>% de localité ayant eu des cas de décès liés à la malnutrition dans les 3 derniers mois</t>
  </si>
  <si>
    <t>Y a-t-il eu des décès dus à la malnutrition dans votre localité dans les 3 derniers mois?</t>
  </si>
  <si>
    <t>Oui - Si oui, pouvez-vous estimer combien de cas il y eu ? 
Non
Je ne sais pas ou je ne souhaite pas répondre</t>
  </si>
  <si>
    <t>% de localités comprenant au moins une personne en situation de handicap (physique ou mental)</t>
  </si>
  <si>
    <t>Y a-t-il au moins un adulte (plus de 18 ans) à ${info_loc_H2R} qui n'est pas en mesure de prendre soin de lui-même (s'habiller, se laver, etc), de travailler ou d'étudier en raison d'handicap physique ou mental ? 
Y a-t-il au moins un enfant (moins de 18 ans) à ${info_loc_H2R} qui n'est pas en mesure de prendre soin de lui-même (s'habiller, se laver, etc), de travailler ou d'étudier en raison d'handicap physique ou mental ?</t>
  </si>
  <si>
    <t xml:space="preserve"> ☐  Oui      ☐ Non      ☐ Je ne sais pas / ne souhaite pas répondre</t>
  </si>
  <si>
    <t>% de localité où la sécurité des adultes (18 ans ou plus) est une préoccupation, par raison</t>
  </si>
  <si>
    <t xml:space="preserve">Actuellement, est-ce que la sécurité des adultes (18 ans ou plus) est une préoccupation dans votre localité ? ☐  Oui  ☐ Non
Si "oui", parmi les risques suivants, quels sont ceux auxquels les hommes de la localité sont exposés ?
Si "oui", parmi les risques suivants, quels sont ceux auxquels les femmes de la localité sont exposés ?
</t>
  </si>
  <si>
    <t>% de localité où la sécurité des enfants (moins de 18 ans) est une préoccupation, par raison</t>
  </si>
  <si>
    <t xml:space="preserve">Actuellement, est-ce que la sécurité des enfants (moins de 18 ans) est une préoccupation dans votre localité  ? ☐  Oui  ☐ Non
Si "oui", parmi les risques suivants, quels sont ceux auxquels les filles de votre localité sont exposés ?  
Si "oui", parmi les risques suivants, quels sont ceux auxquels les garçons de votre localité sont exposés ?  </t>
  </si>
  <si>
    <t>% de localités dont certains habitants ont été forcé de travailler, d'accepter un emploi et de rester dans un emploi contre sa volonté</t>
  </si>
  <si>
    <t>Existe-t-il à votre connaissance, dans votre localité, des cas de personnes qui ont été forcées de travailler, forcées d’accepter un emploi ou forcées de rester dans un emploi contre leur gré,  sous la menace de punition ou de désavantage, ou pour le remboursement de dette ? ?</t>
  </si>
  <si>
    <t>% de localités dont certains habitants ont été forcé de travailler, d'accepter un emploi et de rester dans un emploi contre sa volonté, par type d'activité</t>
  </si>
  <si>
    <t xml:space="preserve">Si « oui »– Quel type de travail était-ce en général? </t>
  </si>
  <si>
    <t>Agriculture / exploitation forestière
Pêche
Mines / carrières
Production industrielle
Construction
Commerce de gros et de détail / réparation de véhicules automobiles et de motocycles
Hôtellerie et services de restauration
Militaire
Arts, spectacles et loisirs
Prostitution / exploitation sexuelle
Production de drogues / vente ou trafic de drogues
Mendicité
Services personnels (p. ex. salons de massage, salons de beauté)
Travail domestique
Engagement dans des combats
Participation à d'autres actions militaires
Fournir des services de soutien à la force ou au groupe armé (p. ex. cuisiner, aller chercher de l'eau, ramasser du bois de chauffage)
Portier
Espionner
Fourniture de services sexuels
Autre (merci de préciser)
Je ne sais pas / préfère ne pas répondre</t>
  </si>
  <si>
    <t>% de localité avec des enfants de moins de 18 ans ne vivant pas sous le même toit que leurs parents</t>
  </si>
  <si>
    <t>D'après vous, est-ce qu'il y a dans votre localité des enfants des moins de 18 ans ayant quitté le ménage de leur parents ?</t>
  </si>
  <si>
    <t xml:space="preserve">Oui ; Si oui, pouvez-vous estimer le poucentage d'enfants séparés de leur famille ? 
Non
Je ne sais pas / préfère ne pas répondre </t>
  </si>
  <si>
    <t>% de localité avec des enfants de moins de 18 ans ne vivant pas sous le même toit que leurs parents, par raison</t>
  </si>
  <si>
    <t>Quelles sont toutes les raisons pour lesquelles les enfants de votre localité quittent le ménage de leur parent ?</t>
  </si>
  <si>
    <t>% de localités dont des enfants de moins de 18 ans contribuent au revenu du ménage, par risque d'activité</t>
  </si>
  <si>
    <t xml:space="preserve">Y-a-t-il des enfants de moins de 18 ans qui part leur activité ou travail mettent leur santé ou leur sécurité à risque ? </t>
  </si>
  <si>
    <t>Non, aucun (0% des enfants)
Quelques enfants (&lt;30% des enfants) 
Moins de la moitié des enfants (&gt;30% &amp; &lt;50%)
Plus de la moitié des enfants (entre 51-75% des enfants)
Une large majorité des enfants (&gt;75% des enfants)
 Je ne sais pas ou je ne souhaite pas répondre</t>
  </si>
  <si>
    <t>% de localités comprenant un nombre important de personnes en détresse psychosociale</t>
  </si>
  <si>
    <t>Y a-t-il des individus dans votre localité qui ont soufferts au cours des 30 derniers jours en montrant des signes de détresses psychologiques (comme des cauchemars, de la tristesse prolongée, de la fatigue extrême, de l'anxiété, etc.) ?</t>
  </si>
  <si>
    <t xml:space="preserve"> ☐  Oui      ☐ Non      ☐ Je ne sais pas / ne souhaite pas répondre
Si "oui", pouvez-vous estimer le pourcentage d'enfants (&lt; 18 ans) qui ont montré ce genre de signes de détresse au sein de votre localité  ___________?
Si "oui", pouvez-vous estimer le pourcentage d'adultes (&gt; 18 ans) qui ont montré ce genre de signes de détresse au sein de votre localité _____________?</t>
  </si>
  <si>
    <t>% de localité ayant un accès équitable et non-discriminatoire aux différents services essentiels de base (accès à l'eau, à la santé, à l'éducation, à la justice)</t>
  </si>
  <si>
    <t xml:space="preserve">Estimez-vous que certains ménages de votre localité subissent des discriminations concernant l'accès aux services de bases essentielles ? </t>
  </si>
  <si>
    <t>% de localité ayant un accès équitable et non-discriminatoire aux différents services essentiels de base (accès à l'eau, à la santé, à l'éducation, à la justice), par type de ménage n'ayant pas accès</t>
  </si>
  <si>
    <t xml:space="preserve">Si oui à la question précédente à au moins un type de services de base ; 
Qui sont les groupes de ménages les plus souvent discriminés ? </t>
  </si>
  <si>
    <t>Ménages déplacés en site et lieux de regroupement 
Ménages déplacés en famille d’accueil
Ménages retournés 
Ménages rapatriés</t>
  </si>
  <si>
    <t>% de localités dont la majorité de la population a accès et connaissance des institutions de support existant en cas de problème de protection, par institution de support</t>
  </si>
  <si>
    <t>En cas de problème de protection, à qui les habitants de votre localité peuvent-ils s'adresser ?</t>
  </si>
  <si>
    <t>Comité de protection
Relais communautaire
Administration légale
Administration locale
Centre écoute et conseil
Personne
Autres
Je ne sais pas / préfère ne pas répondre</t>
  </si>
  <si>
    <t>Educ_1</t>
  </si>
  <si>
    <t>% de localaité ayant accès à des services éducatifs à distance de marche</t>
  </si>
  <si>
    <t>Au cours du dernier mois, y-avait-il des services d'éducation FONCTIONNELS à distance de marche de la localité?</t>
  </si>
  <si>
    <t>% de localité ayant au moins un enfant en situation de handicap, par accès à l’éducation</t>
  </si>
  <si>
    <t>Si un enfant en situation de handicap :
Vous avez indiqué qu'il y a des enfants en situation de handicap dans votre localité. Nous aimerions connaître la situation de ces enfants vis-à-vis de l’éducation ?</t>
  </si>
  <si>
    <t xml:space="preserve">Ces enfants ne vont pas à l’école mais ce n’est pas en raison de leur handicap
Ces enfants ne vont pas à l’école car l’accès à l’école est impossible dû à leur handicap (route inadaptée, transport impossible, mobilité réduite de l’enfant, …)
Ces enfants ne vont pas à l’école car l’enseignement n’est pas adapté (absence d’équipements aménagés et/ou de matériel pédagogiques adapté)
Ces enfants sont discriminés par les autres (élèves et/ou professeurs) et ne peuvent donc pas aller à l’école 
Ces enfants s’adaptent aux conditions de l’école mais la situation n’est pas optimale vis-à-vis de leur handicap (manque d’équipements aménagés et/ou de matériel pédagogiques adaptés)
Les conditions de l’école sont adaptées pour ces enfants
Autre situation (merci de préciser)
</t>
  </si>
  <si>
    <t>Taux d'inscription scolaire estimé des enfants entre 3 et 6 ans (école préscolaire)</t>
  </si>
  <si>
    <r>
      <t xml:space="preserve">D'après vous, quel est le pourcentage </t>
    </r>
    <r>
      <rPr>
        <sz val="10"/>
        <color theme="9"/>
        <rFont val="Arial Narrow"/>
        <family val="2"/>
      </rPr>
      <t>de filles / de garçons</t>
    </r>
    <r>
      <rPr>
        <sz val="10"/>
        <color theme="1" tint="0.499984740745262"/>
        <rFont val="Arial Narrow"/>
        <family val="2"/>
      </rPr>
      <t xml:space="preserve"> de 3 à 6 ans qui étaient inscrits à l'école préscolaire dans votre localité cette année scolaire (2018-2019) ?</t>
    </r>
  </si>
  <si>
    <t>Une large majorité des enfants de 3 à 6 ans (&gt;75%) sont inscrits dans une école préscolaire
Plus de la moitié des enfants de 3 à 6 ans (&gt;50% &amp; &lt;75%) sont inscrits dans une école préscolaire
Moins de la moitié des enfants de 3 à 6 ans (entre 30 et 50%) sont inscrits dans une école préscolaire
Presque aucun enfants de 3 à 6 ans (&lt; 30%) sont inscrits dans une école préscolaire
Aucun enfant de 3 à 6 ans (0%) est inscrit dans une école préscolaire</t>
  </si>
  <si>
    <t>Taux d'inscription scolaire estimé des enfants entre 6 et 12 ans (école primaire)</t>
  </si>
  <si>
    <r>
      <t>D'après vous, quel est le pourcentage d</t>
    </r>
    <r>
      <rPr>
        <sz val="10"/>
        <color theme="9"/>
        <rFont val="Arial Narrow"/>
        <family val="2"/>
      </rPr>
      <t xml:space="preserve">e filles / de garçons </t>
    </r>
    <r>
      <rPr>
        <sz val="10"/>
        <color theme="1" tint="0.499984740745262"/>
        <rFont val="Arial Narrow"/>
        <family val="2"/>
      </rPr>
      <t>de 6 à 12 ans qui étaient inscrits à l'école primaire dans votre localité cette année scolaire (2018-2019) ?</t>
    </r>
  </si>
  <si>
    <t>Une large majorité des enfants de 6 à 12 ans (&gt;75%) sont inscrits dans une école primaire
Plus de la moitié des enfants de 6 à 12 ans (&gt;50% &amp; &lt;75%) sont inscrits dans une école primaire
Moins de la moitié des enfants de 6 à 12 ans (entre 30 et 50%) sont inscrits dans une école primaire
Presque aucun enfants de 6 à 12 ans (&lt; 30%) sont inscrits dans une école primaire
Aucun enfant de 6 à 12 ans (0%) est inscrit dans une école primaire</t>
  </si>
  <si>
    <t>Taux d'inscription scolaire estimé des enfants entre 12 et 18 ans (école secondaire)</t>
  </si>
  <si>
    <r>
      <t>D'après vous, quel est le pourcentage d</t>
    </r>
    <r>
      <rPr>
        <sz val="10"/>
        <color theme="9"/>
        <rFont val="Arial Narrow"/>
        <family val="2"/>
      </rPr>
      <t xml:space="preserve">e filles / de garçons </t>
    </r>
    <r>
      <rPr>
        <sz val="10"/>
        <color theme="1" tint="0.499984740745262"/>
        <rFont val="Arial Narrow"/>
        <family val="2"/>
      </rPr>
      <t>de 12 à 18 ans qui étaient inscrits à l'école secondaire dans votre localité cette année scolaire (2018-2019) ?</t>
    </r>
  </si>
  <si>
    <t>Une large majorité des enfants de 12 à 18 ans (&gt;75%) sont inscrits dans une école secondaire
Plus de la moitié des enfants de 12 à 18 ans (&gt;50% &amp; &lt;75%) sont inscrits dans une école secondaire
Moins de la moitié des enfants de 12 à 18 ans (entre 30 et 50%) sont inscrits dans une école secondaire
Presque aucun enfants de 12 à 18 ans (&lt; 30%) sont inscrits dans une école secondaire
Aucun enfant de 12 à 18 ans (0%) est inscrit dans une école secondaire</t>
  </si>
  <si>
    <t>Taux de participation scolaire estimé des enfants</t>
  </si>
  <si>
    <r>
      <t xml:space="preserve">D'après vous, parmi les  </t>
    </r>
    <r>
      <rPr>
        <sz val="10"/>
        <color theme="9"/>
        <rFont val="Arial Narrow"/>
        <family val="2"/>
      </rPr>
      <t>filles /  garçons</t>
    </r>
    <r>
      <rPr>
        <sz val="10"/>
        <color theme="1" tint="0.499984740745262"/>
        <rFont val="Arial Narrow"/>
        <family val="2"/>
      </rPr>
      <t xml:space="preserve"> de 3 à 18 ans inscrits à l'école pour cette année qui vient de se terminer, quel était le taux de participation moyen des élèves ?</t>
    </r>
  </si>
  <si>
    <t>La majorité des élèves étaient présents toute l'année
La majorité des élèves étaient présents pour la majorité de l'année (&gt; 6 mois)
La majorité des élèves étaient présents entre 3 et 6 mois
La majorité des élèves étaient présents moins de 3 mois
La majorité des élèves n'étaient jamais présents à l'école</t>
  </si>
  <si>
    <t>% de localité où la majorité des enfants ont été présent à moins de la moitié de l'année scolaire précédente ou ne sont pas inscrits à l'école, par type de contraintes/barrières principales de ne pas fréquenter l’école.</t>
  </si>
  <si>
    <t>Vous avez indiqué que la majorité des élèves ont été présents à moins de la moitié de l'année scolaire précédente ou ne sont pas inscrits à l'école. Nous aimerions avoir plus d'information à ce sujet. Pourriez-vous nous dire les principales barrières qui rendent difficiles pour les enfants de votre localité de s'enregistrer ou de suivre régulièrement les cours ?</t>
  </si>
  <si>
    <t>1. L’école est fermée ou non fonctionnelle (Occupée par des groupes armés ; Partiellement / totalement endommagée ; Occupée par des IDPs ; Manque de professeurs ; Manque d’élèves)
2. L'accès à l'école ou être dans l'école n'est pas sûr (Ce n’est pas sûr de faire le trajet jusqu’à l’école ; Risque d’enlèvements, de bombardements, de violence contre les enfants (violences corporelles, harcèlement de la part des professeurs ou des élèves))
3. L’école est financièrement non accessible (Les charges sont trop élevées (fournitures scolaire, frais scolaires, nourriture, uniformes, etc.) ; Les moyens de transport sont trop chers)
4. Impossibilité d’enregistrer les enfants à l’école (Manque de documentations officielles ; Mouvement récent ou continu d’emplacement ; Nouveaux sur la localisation, enregistrement prévu pour l’année suivante ; Discrimination de l’enfant ; Résultats trop faible pour continuer l’école)
5a. Physiquement impossible pour les enfants de se rendre à l'école (Enfants en situation d’handicap ; Enfants traumatisés ; Les enfants sont malades (pendant plus de 6 mois) )
5b. L'accès à l'école est impossible (L’école et trop loin ;  Aucun transport n’est disponible ; Manque d’essence pour transporter les enfants à l’école)
6. L’école est surpeuplée
7. Il manque du staff pour gérer l’école (Manque de professeurs ; Manque de professeurs compétents)
8. Les infrastructures de l’école sont mauvaises (Le bâtiment est dans un mauvais état (e.g. manque de fourniture, manque d’électricité, fuite d’eau, manque de latrines, etc.) ; Les infrastructures d’eau sont dans un mauvais état (entretien des latrines, odeurs, ségrégation du genre, etc.))
9. Le cursus scolaire n’est pas adapté pour les enfants (Le programme n’est pas approprié ; La langue d’enseignement n’est pas appropriée)
10. Les enfants sont déjà occupés (Les enfants doivent rester à la maison pour assister la famille dans l’entretien du ménage ou contribuer au revenu du ménage ; Les enfants sont déjà mariés ; Les enfants doivent ramener de l'argent)
11. Les parents ne veulent pas que les enfants aillent à l’école (Pour causes de coutumes / traditions ; l’école n’est pas nécessaire / importante ; L’école a déjà été trop souvent manquée pour rattraper le retard accumulé ; les enfants ne doit pas recevoir une éducation occidentale)
12. Les enfants ne sont pas intéressés par l’école
13. Autres (merci de préciser)</t>
  </si>
  <si>
    <t>% de localité où la majorité des enfants ont été présent à moins de la moitié de l'année scolaire précédente ou ne sont pas inscrits à l'école, par type de support éducatif souhaité</t>
  </si>
  <si>
    <t>Vous avez mentionné que certains des enfants de votre localité avaient des difficultés pour suivre les cours, s'il devait y avoir une assistance éducation dans votre localité, que pensez-vous que la majorité de la population souhaitent le plus ? Sélectionner les trois plus important.</t>
  </si>
  <si>
    <t>Cash :
☐ De l'argent pour payer les frais scolaire
☐ De l'argent pour acheter les fournitures scolaires (sac, stylos, etc.)
☐ De l'argent pour acheter des livres scolaires
☐ De l'argent pour payer le transport jusqu'à l'école
☐ De l'argent pour payer la nourriture à l'école
☐ ...
Provision direct de biens:
☐ Provision direct de fournitures scolaires (sac, stylos, etc.)
☐ Provision direct de livres scolaires
☐ Provision direct d'uniforme scolaire
☐ ...
Provision de services
☐ Avoir accès à des transports jusqu'à l'école
☐ Avoir accès à des repas à l'école
☐ ...
Aucune</t>
  </si>
  <si>
    <t>% de localités souhaitant recevoir de l’information, par source de confiance</t>
  </si>
  <si>
    <t>En quelle source pensez-vous que la majorité des habitants de votre localité a le plus confiance pour recevoir les informations dont ils auraient besoin?</t>
  </si>
  <si>
    <t xml:space="preserve">De la part de la Force armée (FACA)
De la part de la gendarmerie
De la part de GA (Groupes armés)
De la part du chef de la communauté
Sur les lieux de culte 
De la part des fonctionnaires du gouvernement
De la part d'amis et de la famille 
De la part des travailleurs humanitaires des Nations Unies
De la part des travailleurs humanitaires des ONG nationales
De la part des travailleurs humanitaires des ONG internationales
Autres (merci de préciser)                                              </t>
  </si>
  <si>
    <t>% de localités souhaitant recevoir de l’information, par type d’information</t>
  </si>
  <si>
    <t>Quel type d’information la majorité des habitants de votre localité aimerait recevoir ? (Merci de sélectionner les 3 types d’information que vous pensez que la majorité de la population souhaiterait recevoir)</t>
  </si>
  <si>
    <t>Des nouvelles sur ce qu’il se passe dans la zone
Des nouvelles sur ce qu’il se passe dans les différentes zones du pays (lieux d'origines pour les populations déplacées par exemple)
Retrouver des personnes manquantes
De l’information sur la situation de sécurité dans la zone 
Savoir comment s’enregistrer pour obtenir de l’aide humanitaire
Savoir comment obtenir de l’eau
Savoir comment obtenir de la nourriture
Savoir comment obtenir un abri / un logement / du matériel pour construire un abri
De l’information sur la nutrition
De l’information sur les prix de la nourriture
De l’information sur les cultures locales / prix du bétail
Savoir comment obtenir du combustible pour la cuisine / bois de chauffage
De l’information sur la météo locale
Savoir comment obtenir des soins / une consultation médicale
Savoir comment obtenir de l’aide ou du soutien après avoir été attaqué, harcelé ou enlevé
Savoir comment obtenir de l’aide après avoir été forcé à faire un travail ou à exercer une activité contre sa volonté 
Savoir comment obtenir de l'aide ou du soutien après avoir été victime de violences sexuelles
Savoir comment rester en sécurité afin de prévenir les attaques, le harcèlement ou les enlèvements
Savoir comment remplacer ses documents personnels (e.g. certificat de naissance / carte d'identité)
Savoir comment avoir accès à de l’éducation
Savoir comment trouver du travail
Savoir comment avoir accès à des moyens de transport
Savoir comment obtenir de l’argent / un soutien financier
Avoir de l'information sur la possibilité de retourner dans les lieux d'origine
Avoir de l'information sur le comment pouvoir retrouver un logement
Avoir de l'information sur les agences humanitaires qui leur fournissent de l'aide
Comment pouvoir se plaindre sur le type d'aide reçu 
Comment pouvoir se plaindre sur la manière dont l'aide est reçue (mauvais comportement des fournisseurs d'aide)
Savoir comment les fournisseurs d'aide doivent se comporter
Autres (merci de préciser)</t>
  </si>
  <si>
    <t>% de localités souhaitant recevoir de l’information, par moyens de communication</t>
  </si>
  <si>
    <t>Quel est le moyen préféré d'après-vous de la majorité des habitants pour recevoir de l’information ?</t>
  </si>
  <si>
    <t xml:space="preserve">Appel téléphonique 
SMS
Twitter
Facebook
WhatsApp
Autre réseau social
Télévision
Journaux
Magasine
Sur des panneaux informatifs
Sur des posters
Par feuillets
Par des hauts parleurs
En musique
Au théâtre
Dans un film
En personne, face à face (merci de préciser avec qui vous souhaiteriez en discuter)
Autres (Merci de préciser) </t>
  </si>
  <si>
    <t>Moyens préférés pour donner un avis sur l’aide humanitaire reçue</t>
  </si>
  <si>
    <t>Comment la majorité des habitants préférerait donner un retour aux fournisseurs d’aide humanitaire pour les informer sur la qualité, la quantité et l’adéquation de l’aide que vous pourriez recevoir ?</t>
  </si>
  <si>
    <t>Face à face à la maison avec le travailleur humanitaire
Face à face dans un bureau ou autre avec le travailleur humanitaire
Réunion communautaire dans les localités / du village
Par téléphone
Par SMS
Par email
Par lettre, courriel
Via un réseau social (Facebook, Twitter, etc.)
Via une boîtes à plaintes / à suggestion
Autres (merci de préciser)</t>
  </si>
  <si>
    <t>Je vis dans la localité
J'ai visité la localité
J'ai été en contact avec quelqu'un vivant dans la localité
Autre (merci de préciser)
Je ne sais pas ou je ne souhaite pas répondre</t>
  </si>
  <si>
    <t>Poids Hors-consensus</t>
  </si>
  <si>
    <t>N/A</t>
  </si>
  <si>
    <t>Choix multiple: Toutes les réponses sont égales (pondération modale)</t>
  </si>
  <si>
    <t>Sélectionner la réponse la plus récente</t>
  </si>
  <si>
    <t>Toutes les réponses sont égales (pondération modale)</t>
  </si>
  <si>
    <t>Oui &gt; Non, parce que ces actifs ont déjà été vendu ou cette activité a déjà été menée au cours des 12 derniers mois &gt; La majorité de ces actifs ont déjà été vendu ou cette activité a déjà été menée il y a plus de 12 mois déjà&gt; toute autre réponse</t>
  </si>
  <si>
    <t>Non &gt; toutes les autres réponses</t>
  </si>
  <si>
    <t>Oui &gt; toutes les autres réponses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</si>
</sst>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charset val="1"/>
      <scheme val="minor"/>
    </font>
    <font>
      <b/>
      <sz val="10"/>
      <color theme="1"/>
      <name val="Arial Narrow"/>
      <family val="2"/>
    </font>
    <font>
      <b/>
      <i/>
      <sz val="10"/>
      <color theme="0"/>
      <name val="Arial Narrow"/>
      <family val="2"/>
    </font>
    <font>
      <i/>
      <sz val="10"/>
      <color theme="1" tint="0.499984740745262"/>
      <name val="Arial Narrow"/>
      <family val="2"/>
    </font>
    <font>
      <sz val="10"/>
      <color theme="1"/>
      <name val="Arial Narrow"/>
      <family val="2"/>
    </font>
    <font>
      <i/>
      <sz val="10"/>
      <name val="Arial Narrow"/>
      <family val="2"/>
    </font>
    <font>
      <sz val="10"/>
      <name val="Arial Narrow"/>
      <family val="2"/>
    </font>
    <font>
      <sz val="10"/>
      <color rgb="FF00B0F0"/>
      <name val="Arial Narrow"/>
      <family val="2"/>
    </font>
    <font>
      <i/>
      <sz val="10"/>
      <color theme="2" tint="-0.499984740745262"/>
      <name val="Arial Narrow"/>
      <family val="2"/>
    </font>
    <font>
      <b/>
      <i/>
      <sz val="10"/>
      <color theme="1" tint="0.499984740745262"/>
      <name val="Arial Narrow"/>
      <family val="2"/>
    </font>
    <font>
      <sz val="10"/>
      <color rgb="FFFF0000"/>
      <name val="Arial Narrow"/>
      <family val="2"/>
    </font>
    <font>
      <i/>
      <sz val="10"/>
      <color theme="0" tint="-0.499984740745262"/>
      <name val="Arial Narrow"/>
      <family val="2"/>
    </font>
    <font>
      <sz val="12"/>
      <color theme="1"/>
      <name val="Arial Narrow"/>
      <family val="2"/>
    </font>
    <font>
      <sz val="10"/>
      <color theme="1" tint="0.499984740745262"/>
      <name val="Arial Narrow"/>
      <family val="2"/>
    </font>
    <font>
      <b/>
      <sz val="10"/>
      <name val="Arial Narrow"/>
      <family val="2"/>
    </font>
    <font>
      <i/>
      <sz val="10"/>
      <color rgb="FF00B0F0"/>
      <name val="Arial Narrow"/>
      <family val="2"/>
    </font>
    <font>
      <i/>
      <sz val="10"/>
      <color rgb="FFFF0000"/>
      <name val="Arial Narrow"/>
      <family val="2"/>
    </font>
    <font>
      <sz val="12"/>
      <color indexed="8"/>
      <name val="Times New Roman"/>
      <family val="2"/>
      <charset val="1"/>
    </font>
    <font>
      <sz val="11"/>
      <color indexed="8"/>
      <name val="Calibri"/>
      <family val="2"/>
      <charset val="1"/>
    </font>
    <font>
      <sz val="11"/>
      <color theme="1"/>
      <name val="Arial Narrow"/>
      <family val="2"/>
    </font>
    <font>
      <sz val="11"/>
      <color rgb="FFFFFFFF"/>
      <name val="Arial Narrow"/>
      <family val="2"/>
    </font>
    <font>
      <b/>
      <sz val="11"/>
      <color rgb="FFFFFFFF"/>
      <name val="Arial Narrow"/>
      <family val="2"/>
    </font>
    <font>
      <sz val="10"/>
      <color rgb="FFFFFFFF"/>
      <name val="Arial Narrow"/>
      <family val="2"/>
    </font>
    <font>
      <sz val="9"/>
      <color rgb="FF000000"/>
      <name val="Arial Narrow"/>
      <family val="2"/>
    </font>
    <font>
      <sz val="9"/>
      <color rgb="FFFFFFFF"/>
      <name val="Arial Narrow"/>
      <family val="2"/>
    </font>
    <font>
      <sz val="11"/>
      <color rgb="FF000000"/>
      <name val="Calibri"/>
      <family val="2"/>
      <charset val="1"/>
    </font>
    <font>
      <sz val="10"/>
      <color rgb="FF000000"/>
      <name val="Arial Narrow"/>
      <family val="2"/>
      <charset val="1"/>
    </font>
    <font>
      <sz val="10"/>
      <name val="Arial Narrow"/>
      <family val="2"/>
      <charset val="1"/>
    </font>
    <font>
      <b/>
      <i/>
      <sz val="10"/>
      <color rgb="FFFFFFFF"/>
      <name val="Arial Narrow"/>
      <family val="2"/>
      <charset val="1"/>
    </font>
    <font>
      <i/>
      <sz val="10"/>
      <color rgb="FF7F7F7F"/>
      <name val="Arial Narrow"/>
      <family val="2"/>
      <charset val="1"/>
    </font>
    <font>
      <i/>
      <sz val="10"/>
      <name val="Arial Narrow"/>
      <family val="2"/>
      <charset val="1"/>
    </font>
    <font>
      <i/>
      <strike/>
      <sz val="10"/>
      <color rgb="FFFF0000"/>
      <name val="Arial Narrow"/>
      <family val="2"/>
    </font>
    <font>
      <b/>
      <sz val="10"/>
      <color theme="4"/>
      <name val="Arial Narrow"/>
      <family val="2"/>
    </font>
    <font>
      <sz val="10"/>
      <color theme="9"/>
      <name val="Arial Narrow"/>
      <family val="2"/>
    </font>
  </fonts>
  <fills count="23">
    <fill>
      <patternFill patternType="none"/>
    </fill>
    <fill>
      <patternFill patternType="gray125"/>
    </fill>
    <fill>
      <patternFill patternType="solid">
        <fgColor theme="6"/>
        <bgColor indexed="64"/>
      </patternFill>
    </fill>
    <fill>
      <patternFill patternType="solid">
        <fgColor theme="0"/>
        <bgColor indexed="64"/>
      </patternFill>
    </fill>
    <fill>
      <patternFill patternType="solid">
        <fgColor rgb="FF58585A"/>
        <bgColor indexed="64"/>
      </patternFill>
    </fill>
    <fill>
      <patternFill patternType="solid">
        <fgColor theme="0" tint="-4.9989318521683403E-2"/>
        <bgColor indexed="64"/>
      </patternFill>
    </fill>
    <fill>
      <patternFill patternType="solid">
        <fgColor rgb="FFEFEFEF"/>
        <bgColor indexed="64"/>
      </patternFill>
    </fill>
    <fill>
      <patternFill patternType="solid">
        <fgColor rgb="FFE0E0E0"/>
        <bgColor indexed="64"/>
      </patternFill>
    </fill>
    <fill>
      <patternFill patternType="solid">
        <fgColor rgb="FFD0D0D0"/>
        <bgColor indexed="64"/>
      </patternFill>
    </fill>
    <fill>
      <patternFill patternType="solid">
        <fgColor rgb="FF858585"/>
        <bgColor indexed="64"/>
      </patternFill>
    </fill>
    <fill>
      <patternFill patternType="solid">
        <fgColor rgb="FF595959"/>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rgb="FFFFFFFF"/>
        <bgColor rgb="FFF2F2F2"/>
      </patternFill>
    </fill>
    <fill>
      <patternFill patternType="solid">
        <fgColor rgb="FF58585A"/>
        <bgColor rgb="FF767171"/>
      </patternFill>
    </fill>
    <fill>
      <patternFill patternType="solid">
        <fgColor rgb="FFF2F2F2"/>
        <bgColor rgb="FFFFFFFF"/>
      </patternFill>
    </fill>
    <fill>
      <patternFill patternType="solid">
        <fgColor theme="1" tint="0.34998626667073579"/>
        <bgColor indexed="64"/>
      </patternFill>
    </fill>
    <fill>
      <patternFill patternType="solid">
        <fgColor rgb="FFFF9999"/>
        <bgColor indexed="64"/>
      </patternFill>
    </fill>
  </fills>
  <borders count="4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ck">
        <color rgb="FFFFFFFF"/>
      </top>
      <bottom/>
      <diagonal/>
    </border>
    <border>
      <left/>
      <right/>
      <top style="thick">
        <color rgb="FFFFFFFF"/>
      </top>
      <bottom/>
      <diagonal/>
    </border>
    <border>
      <left style="thin">
        <color indexed="64"/>
      </left>
      <right/>
      <top/>
      <bottom style="thick">
        <color rgb="FFFFFFFF"/>
      </bottom>
      <diagonal/>
    </border>
    <border>
      <left/>
      <right/>
      <top/>
      <bottom style="thick">
        <color rgb="FFFFFFFF"/>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ck">
        <color rgb="FFFFFFFF"/>
      </left>
      <right style="thick">
        <color rgb="FFFFFFFF"/>
      </right>
      <top style="thick">
        <color rgb="FFFFFFFF"/>
      </top>
      <bottom style="thick">
        <color rgb="FFFFFFFF"/>
      </bottom>
      <diagonal/>
    </border>
    <border>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style="thick">
        <color rgb="FFFFFFFF"/>
      </left>
      <right/>
      <top style="thick">
        <color rgb="FFFFFFFF"/>
      </top>
      <bottom/>
      <diagonal/>
    </border>
    <border>
      <left/>
      <right style="thick">
        <color rgb="FFFFFFFF"/>
      </right>
      <top style="thick">
        <color rgb="FFFFFFFF"/>
      </top>
      <bottom/>
      <diagonal/>
    </border>
    <border>
      <left style="thick">
        <color rgb="FFFFFFFF"/>
      </left>
      <right/>
      <top/>
      <bottom style="thick">
        <color rgb="FFFFFFFF"/>
      </bottom>
      <diagonal/>
    </border>
    <border>
      <left/>
      <right style="thick">
        <color rgb="FFFFFFFF"/>
      </right>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style="thick">
        <color rgb="FFFFFFFF"/>
      </left>
      <right style="thick">
        <color rgb="FFFFFFFF"/>
      </right>
      <top/>
      <bottom/>
      <diagonal/>
    </border>
    <border>
      <left style="thick">
        <color rgb="FFFFFFFF"/>
      </left>
      <right/>
      <top style="thin">
        <color indexed="64"/>
      </top>
      <bottom style="thin">
        <color indexed="64"/>
      </bottom>
      <diagonal/>
    </border>
    <border>
      <left/>
      <right style="thick">
        <color rgb="FFFFFFFF"/>
      </right>
      <top style="thin">
        <color indexed="64"/>
      </top>
      <bottom style="thin">
        <color indexed="64"/>
      </bottom>
      <diagonal/>
    </border>
    <border>
      <left/>
      <right/>
      <top style="thick">
        <color rgb="FFFFFFFF"/>
      </top>
      <bottom style="thick">
        <color rgb="FFFFFFFF"/>
      </bottom>
      <diagonal/>
    </border>
    <border>
      <left style="thick">
        <color rgb="FFFFFFFF"/>
      </left>
      <right/>
      <top/>
      <bottom/>
      <diagonal/>
    </border>
    <border>
      <left/>
      <right style="thick">
        <color rgb="FFFFFFFF"/>
      </right>
      <top/>
      <bottom/>
      <diagonal/>
    </border>
    <border>
      <left style="thick">
        <color rgb="FFFFFFFF"/>
      </left>
      <right/>
      <top style="thick">
        <color rgb="FFFFFFFF"/>
      </top>
      <bottom style="thin">
        <color indexed="64"/>
      </bottom>
      <diagonal/>
    </border>
    <border>
      <left/>
      <right style="thick">
        <color rgb="FFFFFFFF"/>
      </right>
      <top style="thick">
        <color rgb="FFFFFFFF"/>
      </top>
      <bottom style="thin">
        <color indexed="64"/>
      </bottom>
      <diagonal/>
    </border>
    <border>
      <left style="thin">
        <color indexed="64"/>
      </left>
      <right/>
      <top style="thick">
        <color rgb="FFFFFFFF"/>
      </top>
      <bottom style="thick">
        <color rgb="FFFFFFFF"/>
      </bottom>
      <diagonal/>
    </border>
    <border>
      <left/>
      <right style="thin">
        <color indexed="64"/>
      </right>
      <top style="thick">
        <color rgb="FFFFFFFF"/>
      </top>
      <bottom style="thick">
        <color rgb="FFFFFFFF"/>
      </bottom>
      <diagonal/>
    </border>
    <border>
      <left style="thin">
        <color indexed="64"/>
      </left>
      <right/>
      <top style="thin">
        <color indexed="64"/>
      </top>
      <bottom style="thick">
        <color rgb="FFFFFFFF"/>
      </bottom>
      <diagonal/>
    </border>
    <border>
      <left/>
      <right/>
      <top style="thin">
        <color indexed="64"/>
      </top>
      <bottom style="thick">
        <color rgb="FFFFFFFF"/>
      </bottom>
      <diagonal/>
    </border>
    <border>
      <left/>
      <right style="thin">
        <color indexed="64"/>
      </right>
      <top style="thin">
        <color indexed="64"/>
      </top>
      <bottom style="thick">
        <color rgb="FFFFFFFF"/>
      </bottom>
      <diagonal/>
    </border>
    <border>
      <left/>
      <right style="thin">
        <color indexed="64"/>
      </right>
      <top/>
      <bottom/>
      <diagonal/>
    </border>
    <border>
      <left style="thick">
        <color rgb="FFFFFFFF"/>
      </left>
      <right style="thick">
        <color rgb="FFFFFFFF"/>
      </right>
      <top/>
      <bottom style="thin">
        <color indexed="64"/>
      </bottom>
      <diagonal/>
    </border>
    <border>
      <left style="thick">
        <color rgb="FFFFFFFF"/>
      </left>
      <right/>
      <top/>
      <bottom style="thin">
        <color indexed="64"/>
      </bottom>
      <diagonal/>
    </border>
    <border>
      <left style="thin">
        <color indexed="64"/>
      </left>
      <right style="thin">
        <color indexed="64"/>
      </right>
      <top/>
      <bottom/>
      <diagonal/>
    </border>
  </borders>
  <cellStyleXfs count="5">
    <xf numFmtId="0" fontId="0" fillId="0" borderId="0"/>
    <xf numFmtId="0" fontId="17" fillId="0" borderId="0"/>
    <xf numFmtId="0" fontId="18" fillId="0" borderId="0"/>
    <xf numFmtId="0" fontId="25" fillId="0" borderId="0"/>
    <xf numFmtId="0" fontId="25" fillId="0" borderId="0"/>
  </cellStyleXfs>
  <cellXfs count="225">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horizontal="left" vertical="center" wrapText="1"/>
    </xf>
    <xf numFmtId="0" fontId="2" fillId="4" borderId="1" xfId="0" applyFont="1" applyFill="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left" vertical="center" wrapText="1"/>
    </xf>
    <xf numFmtId="0" fontId="4" fillId="5" borderId="2" xfId="0" applyFont="1" applyFill="1" applyBorder="1" applyAlignment="1" applyProtection="1">
      <alignment horizontal="left" vertical="center" wrapText="1"/>
    </xf>
    <xf numFmtId="0" fontId="3" fillId="3" borderId="2" xfId="0" quotePrefix="1" applyFont="1" applyFill="1" applyBorder="1" applyAlignment="1">
      <alignment horizontal="left" vertical="center" wrapText="1"/>
    </xf>
    <xf numFmtId="0" fontId="3" fillId="3" borderId="2" xfId="0" quotePrefix="1" applyFont="1" applyFill="1" applyBorder="1" applyAlignment="1">
      <alignment vertical="center" wrapText="1"/>
    </xf>
    <xf numFmtId="0" fontId="8" fillId="3" borderId="2" xfId="0" applyFont="1" applyFill="1" applyBorder="1" applyAlignment="1">
      <alignment horizontal="left" vertical="center" wrapText="1"/>
    </xf>
    <xf numFmtId="0" fontId="3" fillId="0" borderId="2" xfId="0" applyFont="1" applyFill="1" applyBorder="1" applyAlignment="1">
      <alignment vertical="center" wrapText="1"/>
    </xf>
    <xf numFmtId="0" fontId="6" fillId="5" borderId="2" xfId="0" applyFont="1" applyFill="1" applyBorder="1" applyAlignment="1" applyProtection="1">
      <alignment horizontal="left" vertical="center" wrapText="1"/>
    </xf>
    <xf numFmtId="0" fontId="6" fillId="5" borderId="5" xfId="0" applyFont="1" applyFill="1" applyBorder="1" applyAlignment="1" applyProtection="1">
      <alignment horizontal="left" vertical="center" wrapText="1"/>
    </xf>
    <xf numFmtId="0" fontId="10" fillId="3" borderId="0" xfId="0" applyFont="1" applyFill="1" applyBorder="1" applyAlignment="1">
      <alignment vertical="top" wrapText="1"/>
    </xf>
    <xf numFmtId="0" fontId="2" fillId="4" borderId="1" xfId="0" applyFont="1" applyFill="1" applyBorder="1" applyAlignment="1">
      <alignment horizontal="left" vertical="center" wrapText="1"/>
    </xf>
    <xf numFmtId="0" fontId="5" fillId="3" borderId="2" xfId="0" applyFont="1" applyFill="1" applyBorder="1" applyAlignment="1">
      <alignment vertical="center" wrapText="1"/>
    </xf>
    <xf numFmtId="0" fontId="4" fillId="3" borderId="0" xfId="0" applyFont="1" applyFill="1" applyBorder="1" applyAlignment="1">
      <alignment vertical="top" wrapText="1"/>
    </xf>
    <xf numFmtId="0" fontId="12" fillId="3" borderId="0" xfId="0" applyFont="1" applyFill="1" applyBorder="1" applyAlignment="1">
      <alignment vertical="center" wrapText="1"/>
    </xf>
    <xf numFmtId="0" fontId="7" fillId="3" borderId="0" xfId="0" applyFont="1" applyFill="1" applyBorder="1" applyAlignment="1">
      <alignment vertical="top" wrapText="1"/>
    </xf>
    <xf numFmtId="0" fontId="4" fillId="3" borderId="0" xfId="0" applyFont="1" applyFill="1" applyBorder="1" applyAlignment="1">
      <alignment horizontal="center" vertical="center" wrapText="1"/>
    </xf>
    <xf numFmtId="0" fontId="4" fillId="3" borderId="0" xfId="0" applyFont="1" applyFill="1" applyBorder="1" applyAlignment="1">
      <alignment horizontal="left" vertical="top" wrapText="1"/>
    </xf>
    <xf numFmtId="0" fontId="4" fillId="3" borderId="0" xfId="0" applyFont="1" applyFill="1" applyBorder="1" applyAlignment="1">
      <alignment horizontal="left" vertical="center" wrapText="1"/>
    </xf>
    <xf numFmtId="0" fontId="2" fillId="4" borderId="6" xfId="0" applyFont="1" applyFill="1" applyBorder="1" applyAlignment="1">
      <alignment vertical="center" wrapText="1"/>
    </xf>
    <xf numFmtId="0" fontId="3" fillId="3" borderId="4" xfId="0" applyFont="1" applyFill="1" applyBorder="1" applyAlignment="1">
      <alignment vertical="center" wrapText="1"/>
    </xf>
    <xf numFmtId="0" fontId="14" fillId="2" borderId="2" xfId="0" applyFont="1" applyFill="1" applyBorder="1" applyAlignment="1">
      <alignment horizontal="left" vertical="center" wrapText="1"/>
    </xf>
    <xf numFmtId="0" fontId="6" fillId="3" borderId="0"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4" fillId="0" borderId="2" xfId="0" applyFont="1" applyBorder="1" applyAlignment="1">
      <alignment horizontal="center" vertical="top" wrapText="1"/>
    </xf>
    <xf numFmtId="0" fontId="7" fillId="0" borderId="2" xfId="0" applyFont="1" applyBorder="1" applyAlignment="1">
      <alignment horizontal="center" vertical="top" wrapText="1"/>
    </xf>
    <xf numFmtId="0" fontId="4" fillId="16" borderId="2" xfId="0" applyFont="1" applyFill="1" applyBorder="1" applyAlignment="1">
      <alignment horizontal="center" vertical="top" wrapText="1"/>
    </xf>
    <xf numFmtId="0" fontId="1" fillId="2" borderId="2" xfId="0" applyFont="1" applyFill="1" applyBorder="1" applyAlignment="1">
      <alignment horizontal="center" vertical="center" wrapText="1"/>
    </xf>
    <xf numFmtId="0" fontId="4" fillId="3" borderId="0" xfId="0" applyFont="1" applyFill="1" applyBorder="1" applyAlignment="1">
      <alignment horizontal="center" vertical="top" wrapText="1"/>
    </xf>
    <xf numFmtId="0" fontId="19" fillId="14" borderId="18" xfId="0" applyFont="1" applyFill="1" applyBorder="1" applyAlignment="1">
      <alignment horizontal="center" vertical="center" wrapText="1"/>
    </xf>
    <xf numFmtId="0" fontId="19" fillId="13" borderId="19" xfId="0" applyFont="1" applyFill="1" applyBorder="1" applyAlignment="1">
      <alignment horizontal="center" vertical="center" wrapText="1"/>
    </xf>
    <xf numFmtId="0" fontId="19" fillId="15" borderId="19" xfId="0" applyFont="1" applyFill="1" applyBorder="1" applyAlignment="1">
      <alignment horizontal="center" vertical="center" wrapText="1"/>
    </xf>
    <xf numFmtId="0" fontId="20" fillId="12" borderId="19" xfId="0" applyFont="1" applyFill="1" applyBorder="1" applyAlignment="1">
      <alignment horizontal="center" vertical="center" wrapText="1"/>
    </xf>
    <xf numFmtId="0" fontId="20" fillId="11" borderId="19" xfId="0" applyFont="1" applyFill="1" applyBorder="1" applyAlignment="1">
      <alignment horizontal="center" vertical="center" wrapText="1"/>
    </xf>
    <xf numFmtId="0" fontId="20" fillId="12" borderId="27" xfId="0" applyFont="1" applyFill="1" applyBorder="1" applyAlignment="1">
      <alignment vertical="center" wrapText="1"/>
    </xf>
    <xf numFmtId="0" fontId="20" fillId="11" borderId="27" xfId="0" applyFont="1" applyFill="1" applyBorder="1" applyAlignment="1">
      <alignment vertical="center" wrapText="1"/>
    </xf>
    <xf numFmtId="0" fontId="19" fillId="15" borderId="22" xfId="0" applyFont="1" applyFill="1" applyBorder="1" applyAlignment="1">
      <alignment horizontal="center" vertical="center" wrapText="1"/>
    </xf>
    <xf numFmtId="0" fontId="20" fillId="12" borderId="22" xfId="0" applyFont="1" applyFill="1" applyBorder="1" applyAlignment="1">
      <alignment horizontal="center" vertical="center" wrapText="1"/>
    </xf>
    <xf numFmtId="0" fontId="20" fillId="11" borderId="22" xfId="0" applyFont="1" applyFill="1" applyBorder="1" applyAlignment="1">
      <alignment horizontal="center" vertical="center" wrapText="1"/>
    </xf>
    <xf numFmtId="0" fontId="19" fillId="6" borderId="18" xfId="0" applyFont="1" applyFill="1" applyBorder="1" applyAlignment="1">
      <alignment horizontal="center" vertical="center" wrapText="1"/>
    </xf>
    <xf numFmtId="0" fontId="19" fillId="7" borderId="19" xfId="0" applyFont="1" applyFill="1" applyBorder="1" applyAlignment="1">
      <alignment horizontal="center" vertical="center" wrapText="1"/>
    </xf>
    <xf numFmtId="0" fontId="19" fillId="8" borderId="19" xfId="0" applyFont="1" applyFill="1" applyBorder="1" applyAlignment="1">
      <alignment horizontal="center" vertical="center" wrapText="1"/>
    </xf>
    <xf numFmtId="0" fontId="20" fillId="9" borderId="19" xfId="0" applyFont="1" applyFill="1" applyBorder="1" applyAlignment="1">
      <alignment horizontal="center" vertical="center" wrapText="1"/>
    </xf>
    <xf numFmtId="0" fontId="20" fillId="10" borderId="19" xfId="0" applyFont="1" applyFill="1" applyBorder="1" applyAlignment="1">
      <alignment horizontal="center" vertical="center" wrapText="1"/>
    </xf>
    <xf numFmtId="0" fontId="23" fillId="6" borderId="18" xfId="0" applyFont="1" applyFill="1" applyBorder="1" applyAlignment="1">
      <alignment horizontal="center" vertical="center" wrapText="1"/>
    </xf>
    <xf numFmtId="0" fontId="23" fillId="7" borderId="22" xfId="0" applyFont="1" applyFill="1" applyBorder="1" applyAlignment="1">
      <alignment horizontal="center" vertical="center" wrapText="1"/>
    </xf>
    <xf numFmtId="0" fontId="23" fillId="8" borderId="22" xfId="0" applyFont="1" applyFill="1" applyBorder="1" applyAlignment="1">
      <alignment horizontal="center" vertical="center" wrapText="1"/>
    </xf>
    <xf numFmtId="0" fontId="24" fillId="9" borderId="22" xfId="0" applyFont="1" applyFill="1" applyBorder="1" applyAlignment="1">
      <alignment horizontal="center" vertical="center" wrapText="1"/>
    </xf>
    <xf numFmtId="0" fontId="24" fillId="10" borderId="22" xfId="0" applyFont="1" applyFill="1" applyBorder="1" applyAlignment="1">
      <alignment horizontal="center" vertical="center" wrapText="1"/>
    </xf>
    <xf numFmtId="0" fontId="19" fillId="15" borderId="19" xfId="0" applyFont="1" applyFill="1" applyBorder="1" applyAlignment="1">
      <alignment horizontal="center" vertical="center" wrapText="1"/>
    </xf>
    <xf numFmtId="0" fontId="19" fillId="13" borderId="19" xfId="0" applyFont="1" applyFill="1" applyBorder="1" applyAlignment="1">
      <alignment horizontal="center" vertical="center" wrapText="1"/>
    </xf>
    <xf numFmtId="0" fontId="6" fillId="17" borderId="2" xfId="0" applyFont="1" applyFill="1" applyBorder="1" applyAlignment="1" applyProtection="1">
      <alignment horizontal="left" vertical="center" wrapText="1"/>
    </xf>
    <xf numFmtId="0" fontId="19" fillId="16" borderId="20" xfId="0" applyFont="1" applyFill="1" applyBorder="1" applyAlignment="1">
      <alignment horizontal="center" vertical="center" wrapText="1"/>
    </xf>
    <xf numFmtId="0" fontId="19" fillId="16" borderId="30" xfId="0" applyFont="1" applyFill="1" applyBorder="1" applyAlignment="1">
      <alignment horizontal="center" vertical="center" wrapText="1"/>
    </xf>
    <xf numFmtId="0" fontId="19" fillId="16" borderId="19" xfId="0" applyFont="1" applyFill="1" applyBorder="1" applyAlignment="1">
      <alignment horizontal="center" vertical="center" wrapText="1"/>
    </xf>
    <xf numFmtId="0" fontId="20" fillId="11" borderId="12" xfId="0" applyFont="1" applyFill="1" applyBorder="1" applyAlignment="1">
      <alignment horizontal="center" vertical="center" wrapText="1"/>
    </xf>
    <xf numFmtId="0" fontId="25" fillId="0" borderId="0" xfId="3"/>
    <xf numFmtId="0" fontId="28" fillId="19" borderId="1" xfId="3" applyFont="1" applyFill="1" applyBorder="1" applyAlignment="1">
      <alignment vertical="center" wrapText="1"/>
    </xf>
    <xf numFmtId="0" fontId="29" fillId="18" borderId="2" xfId="3" applyFont="1" applyFill="1" applyBorder="1" applyAlignment="1">
      <alignment horizontal="left" vertical="center" wrapText="1"/>
    </xf>
    <xf numFmtId="0" fontId="27" fillId="20" borderId="2" xfId="3" applyFont="1" applyFill="1" applyBorder="1" applyAlignment="1" applyProtection="1">
      <alignment horizontal="left" vertical="center" wrapText="1"/>
    </xf>
    <xf numFmtId="0" fontId="30" fillId="18" borderId="2" xfId="3" applyFont="1" applyFill="1" applyBorder="1" applyAlignment="1">
      <alignment horizontal="center" vertical="center" wrapText="1"/>
    </xf>
    <xf numFmtId="0" fontId="26" fillId="0" borderId="2" xfId="3" applyFont="1" applyBorder="1" applyAlignment="1">
      <alignment horizontal="left" vertical="center" wrapText="1"/>
    </xf>
    <xf numFmtId="0" fontId="2" fillId="4" borderId="1" xfId="0" applyFont="1" applyFill="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left" vertical="center" wrapText="1"/>
    </xf>
    <xf numFmtId="0" fontId="3" fillId="3" borderId="2" xfId="0" quotePrefix="1" applyFont="1" applyFill="1" applyBorder="1" applyAlignment="1">
      <alignment horizontal="left" vertical="center" wrapText="1"/>
    </xf>
    <xf numFmtId="0" fontId="3" fillId="3" borderId="2" xfId="0" quotePrefix="1" applyFont="1" applyFill="1" applyBorder="1" applyAlignment="1">
      <alignment vertical="center" wrapText="1"/>
    </xf>
    <xf numFmtId="0" fontId="3" fillId="0" borderId="2" xfId="0" quotePrefix="1" applyFont="1" applyFill="1" applyBorder="1" applyAlignment="1">
      <alignment vertical="center" wrapText="1"/>
    </xf>
    <xf numFmtId="0" fontId="3" fillId="0" borderId="2" xfId="0" applyFont="1" applyFill="1" applyBorder="1" applyAlignment="1">
      <alignment vertical="center" wrapText="1"/>
    </xf>
    <xf numFmtId="0" fontId="6" fillId="5" borderId="2" xfId="0" applyFont="1" applyFill="1" applyBorder="1" applyAlignment="1" applyProtection="1">
      <alignment horizontal="left" vertical="center" wrapText="1"/>
    </xf>
    <xf numFmtId="0" fontId="11" fillId="3" borderId="2" xfId="0" applyFont="1" applyFill="1" applyBorder="1" applyAlignment="1">
      <alignment horizontal="left" vertical="center" wrapText="1"/>
    </xf>
    <xf numFmtId="0" fontId="4" fillId="3" borderId="0" xfId="0" applyFont="1" applyFill="1" applyBorder="1" applyAlignment="1">
      <alignment vertical="top" wrapText="1"/>
    </xf>
    <xf numFmtId="0" fontId="7" fillId="3" borderId="0" xfId="0" applyFont="1" applyFill="1" applyBorder="1" applyAlignment="1">
      <alignment vertical="top" wrapText="1"/>
    </xf>
    <xf numFmtId="0" fontId="13" fillId="5" borderId="2" xfId="0" applyFont="1" applyFill="1" applyBorder="1" applyAlignment="1" applyProtection="1">
      <alignment horizontal="left" vertical="center" wrapText="1"/>
    </xf>
    <xf numFmtId="0" fontId="5" fillId="3" borderId="2" xfId="0" applyFont="1" applyFill="1" applyBorder="1" applyAlignment="1">
      <alignment horizontal="center" vertical="center" wrapText="1"/>
    </xf>
    <xf numFmtId="0" fontId="19" fillId="16" borderId="31" xfId="0" applyFont="1" applyFill="1" applyBorder="1" applyAlignment="1">
      <alignment horizontal="center" vertical="center" wrapText="1"/>
    </xf>
    <xf numFmtId="0" fontId="19" fillId="16" borderId="0" xfId="0" applyFont="1" applyFill="1" applyBorder="1" applyAlignment="1">
      <alignment horizontal="center" vertical="center" wrapText="1"/>
    </xf>
    <xf numFmtId="0" fontId="20" fillId="11" borderId="9" xfId="0" applyFont="1" applyFill="1" applyBorder="1" applyAlignment="1">
      <alignment horizontal="center" vertical="center" wrapText="1"/>
    </xf>
    <xf numFmtId="0" fontId="20" fillId="12" borderId="9" xfId="0" applyFont="1" applyFill="1" applyBorder="1" applyAlignment="1">
      <alignment horizontal="center" vertical="center" wrapText="1"/>
    </xf>
    <xf numFmtId="0" fontId="19" fillId="15" borderId="9" xfId="0" applyFont="1" applyFill="1" applyBorder="1" applyAlignment="1">
      <alignment horizontal="center" vertical="center" wrapText="1"/>
    </xf>
    <xf numFmtId="0" fontId="19" fillId="13" borderId="9" xfId="0" applyFont="1" applyFill="1" applyBorder="1" applyAlignment="1">
      <alignment horizontal="center" vertical="center" wrapText="1"/>
    </xf>
    <xf numFmtId="0" fontId="20" fillId="11" borderId="19" xfId="0" applyFont="1" applyFill="1" applyBorder="1" applyAlignment="1">
      <alignment horizontal="center" vertical="center" wrapText="1"/>
    </xf>
    <xf numFmtId="0" fontId="19" fillId="14" borderId="9" xfId="0" applyFont="1" applyFill="1" applyBorder="1" applyAlignment="1">
      <alignment horizontal="center" vertical="center" wrapText="1"/>
    </xf>
    <xf numFmtId="0" fontId="1" fillId="2" borderId="6" xfId="0" applyFont="1" applyFill="1" applyBorder="1" applyAlignment="1">
      <alignment vertical="center" wrapText="1"/>
    </xf>
    <xf numFmtId="0" fontId="1" fillId="2" borderId="4" xfId="0" applyFont="1" applyFill="1" applyBorder="1" applyAlignment="1">
      <alignment horizontal="left" vertical="center" wrapText="1"/>
    </xf>
    <xf numFmtId="0" fontId="1" fillId="2" borderId="14" xfId="0" applyFont="1" applyFill="1" applyBorder="1" applyAlignment="1">
      <alignment horizontal="center" vertical="center" wrapText="1"/>
    </xf>
    <xf numFmtId="0" fontId="2" fillId="4" borderId="2" xfId="0" applyFont="1" applyFill="1" applyBorder="1" applyAlignment="1">
      <alignment vertical="center" wrapText="1"/>
    </xf>
    <xf numFmtId="0" fontId="3" fillId="3" borderId="1" xfId="0" applyFont="1" applyFill="1" applyBorder="1" applyAlignment="1">
      <alignment vertical="center" wrapText="1"/>
    </xf>
    <xf numFmtId="0" fontId="13" fillId="0" borderId="2" xfId="0" applyFont="1" applyFill="1" applyBorder="1" applyAlignment="1" applyProtection="1">
      <alignment horizontal="left" vertical="center" wrapText="1"/>
    </xf>
    <xf numFmtId="0" fontId="3" fillId="3" borderId="1" xfId="0" applyFont="1" applyFill="1" applyBorder="1" applyAlignment="1">
      <alignment horizontal="left" vertical="center" wrapText="1"/>
    </xf>
    <xf numFmtId="0" fontId="2" fillId="21" borderId="2" xfId="0" applyFont="1" applyFill="1" applyBorder="1" applyAlignment="1">
      <alignment vertical="center" wrapText="1"/>
    </xf>
    <xf numFmtId="0" fontId="6" fillId="0" borderId="2" xfId="0" applyFont="1" applyFill="1" applyBorder="1" applyAlignment="1" applyProtection="1">
      <alignment horizontal="left" vertical="center" wrapText="1"/>
    </xf>
    <xf numFmtId="0" fontId="3" fillId="22" borderId="1" xfId="0" applyFont="1" applyFill="1" applyBorder="1" applyAlignment="1">
      <alignment horizontal="left" vertical="center" wrapText="1"/>
    </xf>
    <xf numFmtId="0" fontId="4" fillId="0" borderId="2" xfId="0" applyFont="1" applyFill="1" applyBorder="1" applyAlignment="1" applyProtection="1">
      <alignment horizontal="left" vertical="center" wrapText="1"/>
    </xf>
    <xf numFmtId="0" fontId="2" fillId="4" borderId="40" xfId="0" applyFont="1" applyFill="1" applyBorder="1" applyAlignment="1">
      <alignment vertical="center" wrapText="1"/>
    </xf>
    <xf numFmtId="0" fontId="3" fillId="3" borderId="43" xfId="0" applyFont="1" applyFill="1" applyBorder="1" applyAlignment="1">
      <alignment horizontal="left" vertical="center" wrapText="1"/>
    </xf>
    <xf numFmtId="0" fontId="13" fillId="0" borderId="43" xfId="0" applyFont="1" applyFill="1" applyBorder="1" applyAlignment="1" applyProtection="1">
      <alignment horizontal="left" vertical="center" wrapText="1"/>
    </xf>
    <xf numFmtId="0" fontId="3" fillId="3" borderId="43" xfId="0" applyFont="1" applyFill="1" applyBorder="1" applyAlignment="1">
      <alignment vertical="center" wrapText="1"/>
    </xf>
    <xf numFmtId="0" fontId="3" fillId="3" borderId="43"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3" fillId="3" borderId="6" xfId="0" applyFont="1" applyFill="1" applyBorder="1" applyAlignment="1">
      <alignment horizontal="left" vertical="center" wrapText="1"/>
    </xf>
    <xf numFmtId="0" fontId="19" fillId="3" borderId="0" xfId="0" applyFont="1" applyFill="1" applyBorder="1" applyAlignment="1">
      <alignment wrapText="1"/>
    </xf>
    <xf numFmtId="0" fontId="19" fillId="3" borderId="0" xfId="0" applyFont="1" applyFill="1" applyAlignment="1">
      <alignment wrapText="1"/>
    </xf>
    <xf numFmtId="0" fontId="1" fillId="2" borderId="12" xfId="0" applyFont="1" applyFill="1" applyBorder="1" applyAlignment="1">
      <alignment horizontal="left" vertical="center" wrapText="1"/>
    </xf>
    <xf numFmtId="0" fontId="19" fillId="0" borderId="0" xfId="0" applyFont="1"/>
    <xf numFmtId="0" fontId="4" fillId="7" borderId="9"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4" fillId="8" borderId="0"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19" fillId="14" borderId="21" xfId="0" applyFont="1" applyFill="1" applyBorder="1" applyAlignment="1">
      <alignment horizontal="center" vertical="center" wrapText="1"/>
    </xf>
    <xf numFmtId="0" fontId="19" fillId="14" borderId="9" xfId="0" applyFont="1" applyFill="1" applyBorder="1" applyAlignment="1">
      <alignment horizontal="center" vertical="center" wrapText="1"/>
    </xf>
    <xf numFmtId="0" fontId="19" fillId="14" borderId="22" xfId="0" applyFont="1" applyFill="1" applyBorder="1" applyAlignment="1">
      <alignment horizontal="center" vertical="center" wrapText="1"/>
    </xf>
    <xf numFmtId="0" fontId="19" fillId="14" borderId="31" xfId="0" applyFont="1" applyFill="1" applyBorder="1" applyAlignment="1">
      <alignment horizontal="center" vertical="center" wrapText="1"/>
    </xf>
    <xf numFmtId="0" fontId="19" fillId="14" borderId="0" xfId="0" applyFont="1" applyFill="1" applyBorder="1" applyAlignment="1">
      <alignment horizontal="center" vertical="center" wrapText="1"/>
    </xf>
    <xf numFmtId="0" fontId="19" fillId="14" borderId="32" xfId="0" applyFont="1" applyFill="1" applyBorder="1" applyAlignment="1">
      <alignment horizontal="center" vertical="center" wrapText="1"/>
    </xf>
    <xf numFmtId="0" fontId="19" fillId="14" borderId="23" xfId="0" applyFont="1" applyFill="1" applyBorder="1" applyAlignment="1">
      <alignment horizontal="center" vertical="center" wrapText="1"/>
    </xf>
    <xf numFmtId="0" fontId="19" fillId="14" borderId="11" xfId="0" applyFont="1" applyFill="1" applyBorder="1" applyAlignment="1">
      <alignment horizontal="center" vertical="center" wrapText="1"/>
    </xf>
    <xf numFmtId="0" fontId="19" fillId="14" borderId="24"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20" fillId="11" borderId="27" xfId="0" applyFont="1" applyFill="1" applyBorder="1" applyAlignment="1">
      <alignment horizontal="center" vertical="center" wrapText="1"/>
    </xf>
    <xf numFmtId="0" fontId="20" fillId="11" borderId="26" xfId="0" applyFont="1" applyFill="1" applyBorder="1" applyAlignment="1">
      <alignment horizontal="center" vertical="center" wrapText="1"/>
    </xf>
    <xf numFmtId="0" fontId="20" fillId="12" borderId="9" xfId="0" applyFont="1" applyFill="1" applyBorder="1" applyAlignment="1">
      <alignment horizontal="center" vertical="center" wrapText="1"/>
    </xf>
    <xf numFmtId="0" fontId="20" fillId="12" borderId="0" xfId="0" applyFont="1" applyFill="1" applyBorder="1" applyAlignment="1">
      <alignment horizontal="center" vertical="center" wrapText="1"/>
    </xf>
    <xf numFmtId="0" fontId="20" fillId="11" borderId="9" xfId="0" applyFont="1" applyFill="1" applyBorder="1" applyAlignment="1">
      <alignment horizontal="center" vertical="center" wrapText="1"/>
    </xf>
    <xf numFmtId="0" fontId="20" fillId="11" borderId="0" xfId="0" applyFont="1" applyFill="1" applyBorder="1" applyAlignment="1">
      <alignment horizontal="center" vertical="center" wrapText="1"/>
    </xf>
    <xf numFmtId="0" fontId="19" fillId="16" borderId="21" xfId="0" applyFont="1" applyFill="1" applyBorder="1" applyAlignment="1">
      <alignment horizontal="center" vertical="center" wrapText="1"/>
    </xf>
    <xf numFmtId="0" fontId="19" fillId="16" borderId="9" xfId="0" applyFont="1" applyFill="1" applyBorder="1" applyAlignment="1">
      <alignment horizontal="center" vertical="center" wrapText="1"/>
    </xf>
    <xf numFmtId="0" fontId="19" fillId="16" borderId="22" xfId="0" applyFont="1" applyFill="1" applyBorder="1" applyAlignment="1">
      <alignment horizontal="center" vertical="center" wrapText="1"/>
    </xf>
    <xf numFmtId="0" fontId="19" fillId="16" borderId="23" xfId="0" applyFont="1" applyFill="1" applyBorder="1" applyAlignment="1">
      <alignment horizontal="center" vertical="center" wrapText="1"/>
    </xf>
    <xf numFmtId="0" fontId="19" fillId="16" borderId="11" xfId="0" applyFont="1" applyFill="1" applyBorder="1" applyAlignment="1">
      <alignment horizontal="center" vertical="center" wrapText="1"/>
    </xf>
    <xf numFmtId="0" fontId="19" fillId="16" borderId="24" xfId="0" applyFont="1" applyFill="1" applyBorder="1" applyAlignment="1">
      <alignment horizontal="center" vertical="center" wrapText="1"/>
    </xf>
    <xf numFmtId="0" fontId="21" fillId="11" borderId="21" xfId="0" applyFont="1" applyFill="1" applyBorder="1" applyAlignment="1">
      <alignment horizontal="center" vertical="center" wrapText="1"/>
    </xf>
    <xf numFmtId="0" fontId="21" fillId="11" borderId="42" xfId="0" applyFont="1" applyFill="1" applyBorder="1" applyAlignment="1">
      <alignment horizontal="center" vertical="center" wrapText="1"/>
    </xf>
    <xf numFmtId="0" fontId="20" fillId="11" borderId="20" xfId="0" applyFont="1" applyFill="1" applyBorder="1" applyAlignment="1">
      <alignment horizontal="center" vertical="center" wrapText="1"/>
    </xf>
    <xf numFmtId="0" fontId="20" fillId="11" borderId="19" xfId="0" applyFont="1" applyFill="1" applyBorder="1" applyAlignment="1">
      <alignment horizontal="center" vertical="center" wrapText="1"/>
    </xf>
    <xf numFmtId="0" fontId="20" fillId="12" borderId="25" xfId="0" applyFont="1" applyFill="1" applyBorder="1" applyAlignment="1">
      <alignment horizontal="center" vertical="center" wrapText="1"/>
    </xf>
    <xf numFmtId="0" fontId="20" fillId="12" borderId="27" xfId="0" applyFont="1" applyFill="1" applyBorder="1" applyAlignment="1">
      <alignment horizontal="center" vertical="center" wrapText="1"/>
    </xf>
    <xf numFmtId="0" fontId="20" fillId="12" borderId="26" xfId="0" applyFont="1" applyFill="1" applyBorder="1" applyAlignment="1">
      <alignment horizontal="center" vertical="center" wrapText="1"/>
    </xf>
    <xf numFmtId="0" fontId="19" fillId="13" borderId="30" xfId="0" applyFont="1" applyFill="1" applyBorder="1" applyAlignment="1">
      <alignment horizontal="center" vertical="center" wrapText="1"/>
    </xf>
    <xf numFmtId="0" fontId="19" fillId="13" borderId="19" xfId="0" applyFont="1" applyFill="1" applyBorder="1" applyAlignment="1">
      <alignment horizontal="center" vertical="center" wrapText="1"/>
    </xf>
    <xf numFmtId="0" fontId="19" fillId="14" borderId="20" xfId="0" applyFont="1" applyFill="1" applyBorder="1" applyAlignment="1">
      <alignment horizontal="center" vertical="center" wrapText="1"/>
    </xf>
    <xf numFmtId="0" fontId="19" fillId="14" borderId="30" xfId="0" applyFont="1" applyFill="1" applyBorder="1" applyAlignment="1">
      <alignment horizontal="center" vertical="center" wrapText="1"/>
    </xf>
    <xf numFmtId="0" fontId="19" fillId="14" borderId="19" xfId="0" applyFont="1" applyFill="1" applyBorder="1" applyAlignment="1">
      <alignment horizontal="center" vertical="center" wrapText="1"/>
    </xf>
    <xf numFmtId="0" fontId="19" fillId="15" borderId="25" xfId="0" applyFont="1" applyFill="1" applyBorder="1" applyAlignment="1">
      <alignment horizontal="center" vertical="center" wrapText="1"/>
    </xf>
    <xf numFmtId="0" fontId="19" fillId="15" borderId="26" xfId="0" applyFont="1" applyFill="1" applyBorder="1" applyAlignment="1">
      <alignment horizontal="center" vertical="center" wrapText="1"/>
    </xf>
    <xf numFmtId="0" fontId="19" fillId="13" borderId="25" xfId="0" applyFont="1" applyFill="1" applyBorder="1" applyAlignment="1">
      <alignment horizontal="center" vertical="center" wrapText="1"/>
    </xf>
    <xf numFmtId="0" fontId="19" fillId="13" borderId="26" xfId="0" applyFont="1" applyFill="1" applyBorder="1" applyAlignment="1">
      <alignment horizontal="center" vertical="center" wrapText="1"/>
    </xf>
    <xf numFmtId="0" fontId="19" fillId="14" borderId="25" xfId="0" applyFont="1" applyFill="1" applyBorder="1" applyAlignment="1">
      <alignment horizontal="center" vertical="center" wrapText="1"/>
    </xf>
    <xf numFmtId="0" fontId="19" fillId="14" borderId="26" xfId="0" applyFont="1" applyFill="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19" fillId="13" borderId="9" xfId="0" applyFont="1" applyFill="1" applyBorder="1" applyAlignment="1">
      <alignment horizontal="center" vertical="center" wrapText="1"/>
    </xf>
    <xf numFmtId="0" fontId="19" fillId="13" borderId="0" xfId="0" applyFont="1" applyFill="1" applyBorder="1" applyAlignment="1">
      <alignment horizontal="center" vertical="center" wrapText="1"/>
    </xf>
    <xf numFmtId="0" fontId="19" fillId="15" borderId="9" xfId="0" applyFont="1" applyFill="1" applyBorder="1" applyAlignment="1">
      <alignment horizontal="center" vertical="center" wrapText="1"/>
    </xf>
    <xf numFmtId="0" fontId="19" fillId="15" borderId="0" xfId="0" applyFont="1" applyFill="1" applyBorder="1" applyAlignment="1">
      <alignment horizontal="center" vertical="center" wrapText="1"/>
    </xf>
    <xf numFmtId="0" fontId="19" fillId="0" borderId="3"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1" xfId="0" applyFont="1" applyBorder="1" applyAlignment="1">
      <alignment horizontal="center" vertical="center" wrapText="1"/>
    </xf>
    <xf numFmtId="0" fontId="4" fillId="6" borderId="9"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19" fillId="16" borderId="20" xfId="0" applyFont="1" applyFill="1" applyBorder="1" applyAlignment="1">
      <alignment horizontal="center" vertical="center" wrapText="1"/>
    </xf>
    <xf numFmtId="0" fontId="19" fillId="16" borderId="30" xfId="0" applyFont="1" applyFill="1" applyBorder="1" applyAlignment="1">
      <alignment horizontal="center" vertical="center" wrapText="1"/>
    </xf>
    <xf numFmtId="0" fontId="19" fillId="16" borderId="19" xfId="0" applyFont="1" applyFill="1" applyBorder="1" applyAlignment="1">
      <alignment horizontal="center" vertical="center" wrapText="1"/>
    </xf>
    <xf numFmtId="0" fontId="6" fillId="0" borderId="14" xfId="0" applyFont="1" applyBorder="1" applyAlignment="1">
      <alignment horizontal="center" vertical="top" wrapText="1"/>
    </xf>
    <xf numFmtId="0" fontId="6" fillId="0" borderId="15" xfId="0" applyFont="1" applyBorder="1" applyAlignment="1">
      <alignment horizontal="center" vertical="top" wrapText="1"/>
    </xf>
    <xf numFmtId="0" fontId="6" fillId="0" borderId="6" xfId="0" applyFont="1" applyBorder="1" applyAlignment="1">
      <alignment horizontal="center" vertical="top" wrapText="1"/>
    </xf>
    <xf numFmtId="0" fontId="6" fillId="0" borderId="16" xfId="0" applyFont="1" applyBorder="1" applyAlignment="1">
      <alignment horizontal="center" vertical="top" wrapText="1"/>
    </xf>
    <xf numFmtId="0" fontId="6" fillId="0" borderId="13" xfId="0" applyFont="1" applyBorder="1" applyAlignment="1">
      <alignment horizontal="center" vertical="top" wrapText="1"/>
    </xf>
    <xf numFmtId="0" fontId="6" fillId="0" borderId="17" xfId="0" applyFont="1" applyBorder="1" applyAlignment="1">
      <alignment horizontal="center" vertical="top" wrapText="1"/>
    </xf>
    <xf numFmtId="0" fontId="22" fillId="9" borderId="9"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22" fillId="10" borderId="9" xfId="0" applyFont="1" applyFill="1" applyBorder="1" applyAlignment="1">
      <alignment horizontal="center" vertical="center" wrapText="1"/>
    </xf>
    <xf numFmtId="0" fontId="22" fillId="10" borderId="13" xfId="0" applyFont="1" applyFill="1" applyBorder="1" applyAlignment="1">
      <alignment horizontal="center" vertical="center" wrapText="1"/>
    </xf>
    <xf numFmtId="0" fontId="4" fillId="6" borderId="0" xfId="0" applyFont="1" applyFill="1" applyBorder="1" applyAlignment="1">
      <alignment horizontal="center" vertical="center" wrapText="1"/>
    </xf>
    <xf numFmtId="0" fontId="6" fillId="0" borderId="35"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6" xfId="0" applyFont="1" applyBorder="1" applyAlignment="1">
      <alignment horizontal="center" vertical="center" wrapText="1"/>
    </xf>
    <xf numFmtId="0" fontId="20" fillId="11" borderId="21" xfId="0" applyFont="1" applyFill="1" applyBorder="1" applyAlignment="1">
      <alignment horizontal="center" vertical="center" wrapText="1"/>
    </xf>
    <xf numFmtId="0" fontId="20" fillId="11" borderId="22" xfId="0" applyFont="1" applyFill="1" applyBorder="1" applyAlignment="1">
      <alignment horizontal="center" vertical="center" wrapText="1"/>
    </xf>
    <xf numFmtId="0" fontId="20" fillId="11" borderId="23" xfId="0" applyFont="1" applyFill="1" applyBorder="1" applyAlignment="1">
      <alignment horizontal="center" vertical="center" wrapText="1"/>
    </xf>
    <xf numFmtId="0" fontId="20" fillId="11" borderId="24" xfId="0" applyFont="1" applyFill="1" applyBorder="1" applyAlignment="1">
      <alignment horizontal="center" vertical="center" wrapText="1"/>
    </xf>
    <xf numFmtId="0" fontId="20" fillId="11" borderId="11" xfId="0" applyFont="1" applyFill="1" applyBorder="1" applyAlignment="1">
      <alignment horizontal="center" vertical="center" wrapText="1"/>
    </xf>
    <xf numFmtId="0" fontId="20" fillId="12" borderId="11" xfId="0" applyFont="1" applyFill="1" applyBorder="1" applyAlignment="1">
      <alignment horizontal="center" vertical="center" wrapText="1"/>
    </xf>
    <xf numFmtId="0" fontId="19" fillId="15" borderId="11" xfId="0" applyFont="1" applyFill="1" applyBorder="1" applyAlignment="1">
      <alignment horizontal="center" vertical="center" wrapText="1"/>
    </xf>
    <xf numFmtId="0" fontId="19" fillId="13" borderId="1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22" fillId="9" borderId="0"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2" fillId="10" borderId="0"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19" fillId="14" borderId="28" xfId="0" applyFont="1" applyFill="1" applyBorder="1" applyAlignment="1">
      <alignment horizontal="center" vertical="center" wrapText="1"/>
    </xf>
    <xf numFmtId="0" fontId="19" fillId="14" borderId="7" xfId="0" applyFont="1" applyFill="1" applyBorder="1" applyAlignment="1">
      <alignment horizontal="center" vertical="center" wrapText="1"/>
    </xf>
    <xf numFmtId="0" fontId="19" fillId="14" borderId="29" xfId="0" applyFont="1" applyFill="1" applyBorder="1" applyAlignment="1">
      <alignment horizontal="center" vertical="center" wrapText="1"/>
    </xf>
    <xf numFmtId="0" fontId="19" fillId="14" borderId="33" xfId="0" applyFont="1" applyFill="1" applyBorder="1" applyAlignment="1">
      <alignment horizontal="center" vertical="center" wrapText="1"/>
    </xf>
    <xf numFmtId="0" fontId="19" fillId="14" borderId="34" xfId="0" applyFont="1" applyFill="1" applyBorder="1" applyAlignment="1">
      <alignment horizontal="center" vertical="center" wrapText="1"/>
    </xf>
    <xf numFmtId="0" fontId="19" fillId="14" borderId="8" xfId="0" applyFont="1" applyFill="1" applyBorder="1" applyAlignment="1">
      <alignment horizontal="center" vertical="center" wrapText="1"/>
    </xf>
    <xf numFmtId="0" fontId="19" fillId="14" borderId="10"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0"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7" xfId="0" applyFont="1" applyBorder="1" applyAlignment="1">
      <alignment horizontal="center" vertical="center" wrapText="1"/>
    </xf>
    <xf numFmtId="0" fontId="19" fillId="13" borderId="27" xfId="0" applyFont="1" applyFill="1" applyBorder="1" applyAlignment="1">
      <alignment horizontal="center" vertical="center" wrapText="1"/>
    </xf>
    <xf numFmtId="0" fontId="19" fillId="14" borderId="27" xfId="0" applyFont="1" applyFill="1" applyBorder="1" applyAlignment="1">
      <alignment horizontal="center" vertical="center" wrapText="1"/>
    </xf>
    <xf numFmtId="0" fontId="20" fillId="11" borderId="31" xfId="0" applyFont="1" applyFill="1" applyBorder="1" applyAlignment="1">
      <alignment horizontal="center" vertical="center" wrapText="1"/>
    </xf>
    <xf numFmtId="0" fontId="20" fillId="11" borderId="32" xfId="0" applyFont="1" applyFill="1" applyBorder="1" applyAlignment="1">
      <alignment horizontal="center" vertical="center" wrapText="1"/>
    </xf>
    <xf numFmtId="0" fontId="20" fillId="12" borderId="41" xfId="0" applyFont="1" applyFill="1" applyBorder="1" applyAlignment="1">
      <alignment horizontal="center" vertical="center" wrapText="1"/>
    </xf>
    <xf numFmtId="0" fontId="19" fillId="15" borderId="27" xfId="0" applyFont="1" applyFill="1" applyBorder="1" applyAlignment="1">
      <alignment horizontal="center" vertical="center" wrapText="1"/>
    </xf>
    <xf numFmtId="0" fontId="20" fillId="11" borderId="30" xfId="0" applyFont="1" applyFill="1" applyBorder="1" applyAlignment="1">
      <alignment horizontal="center" vertical="center" wrapText="1"/>
    </xf>
  </cellXfs>
  <cellStyles count="5">
    <cellStyle name="Excel Built-in Normal" xfId="2"/>
    <cellStyle name="Normal" xfId="0" builtinId="0"/>
    <cellStyle name="Normal 2" xfId="1"/>
    <cellStyle name="Normal 3" xfId="3"/>
    <cellStyle name="TableStyleLight1" xfId="4"/>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00"/>
  <sheetViews>
    <sheetView zoomScale="73" zoomScaleNormal="50" workbookViewId="0">
      <pane ySplit="1" topLeftCell="A52" activePane="bottomLeft" state="frozen"/>
      <selection pane="bottomLeft" activeCell="I54" sqref="I54"/>
    </sheetView>
  </sheetViews>
  <sheetFormatPr defaultColWidth="9.140625" defaultRowHeight="12.75" x14ac:dyDescent="0.25"/>
  <cols>
    <col min="1" max="1" width="16.85546875" style="16" customWidth="1"/>
    <col min="2" max="2" width="8.140625" style="16" hidden="1" customWidth="1"/>
    <col min="3" max="3" width="10.42578125" style="16" hidden="1" customWidth="1"/>
    <col min="4" max="4" width="14.85546875" style="16" hidden="1" customWidth="1"/>
    <col min="5" max="5" width="6.85546875" style="16" customWidth="1"/>
    <col min="6" max="6" width="22.140625" style="20" customWidth="1"/>
    <col min="7" max="7" width="31.85546875" style="21" customWidth="1"/>
    <col min="8" max="8" width="59.140625" style="25" customWidth="1"/>
    <col min="9" max="9" width="124.42578125" style="21" customWidth="1"/>
    <col min="10" max="10" width="14.42578125" style="19" hidden="1" customWidth="1"/>
    <col min="11" max="11" width="16.85546875" style="16" hidden="1" customWidth="1"/>
    <col min="12" max="12" width="14.5703125" style="19" customWidth="1"/>
    <col min="13" max="16" width="14.5703125" style="33" customWidth="1"/>
    <col min="17" max="17" width="9.42578125" style="16" customWidth="1"/>
    <col min="18" max="16384" width="9.140625" style="16"/>
  </cols>
  <sheetData>
    <row r="1" spans="1:16" s="17" customFormat="1" ht="38.25" x14ac:dyDescent="0.25">
      <c r="A1" s="1" t="s">
        <v>0</v>
      </c>
      <c r="B1" s="1" t="s">
        <v>72</v>
      </c>
      <c r="C1" s="1" t="s">
        <v>73</v>
      </c>
      <c r="D1" s="1" t="s">
        <v>400</v>
      </c>
      <c r="E1" s="1" t="s">
        <v>70</v>
      </c>
      <c r="F1" s="2" t="s">
        <v>1</v>
      </c>
      <c r="G1" s="2" t="s">
        <v>2</v>
      </c>
      <c r="H1" s="24" t="s">
        <v>3</v>
      </c>
      <c r="I1" s="2" t="s">
        <v>333</v>
      </c>
      <c r="J1" s="32" t="s">
        <v>4</v>
      </c>
      <c r="K1" s="2" t="s">
        <v>160</v>
      </c>
      <c r="L1" s="193" t="s">
        <v>185</v>
      </c>
      <c r="M1" s="193"/>
      <c r="N1" s="193"/>
      <c r="O1" s="193"/>
      <c r="P1" s="193"/>
    </row>
    <row r="2" spans="1:16" ht="78.599999999999994" customHeight="1" x14ac:dyDescent="0.25">
      <c r="A2" s="3" t="s">
        <v>161</v>
      </c>
      <c r="B2" s="3"/>
      <c r="C2" s="3"/>
      <c r="D2" s="3"/>
      <c r="E2" s="3"/>
      <c r="F2" s="4"/>
      <c r="G2" s="5"/>
      <c r="H2" s="56" t="s">
        <v>439</v>
      </c>
      <c r="I2" s="7"/>
      <c r="J2" s="26"/>
      <c r="K2" s="26"/>
      <c r="L2" s="29"/>
      <c r="M2" s="29"/>
      <c r="N2" s="29"/>
      <c r="O2" s="29"/>
      <c r="P2" s="27"/>
    </row>
    <row r="3" spans="1:16" x14ac:dyDescent="0.25">
      <c r="A3" s="3"/>
      <c r="B3" s="3"/>
      <c r="C3" s="3"/>
      <c r="D3" s="3"/>
      <c r="E3" s="3"/>
      <c r="F3" s="4"/>
      <c r="G3" s="5"/>
      <c r="H3" s="56" t="s">
        <v>235</v>
      </c>
      <c r="I3" s="7"/>
      <c r="J3" s="26"/>
      <c r="K3" s="26"/>
      <c r="L3" s="29"/>
      <c r="M3" s="29"/>
      <c r="N3" s="29"/>
      <c r="O3" s="29"/>
      <c r="P3" s="27"/>
    </row>
    <row r="4" spans="1:16" x14ac:dyDescent="0.25">
      <c r="A4" s="3"/>
      <c r="B4" s="3"/>
      <c r="C4" s="3"/>
      <c r="D4" s="3"/>
      <c r="E4" s="3"/>
      <c r="F4" s="4"/>
      <c r="G4" s="5"/>
      <c r="H4" s="56" t="s">
        <v>236</v>
      </c>
      <c r="I4" s="7"/>
      <c r="J4" s="26"/>
      <c r="K4" s="26"/>
      <c r="L4" s="29"/>
      <c r="M4" s="29"/>
      <c r="N4" s="29"/>
      <c r="O4" s="29"/>
      <c r="P4" s="27"/>
    </row>
    <row r="5" spans="1:16" ht="264.95" customHeight="1" x14ac:dyDescent="0.25">
      <c r="A5" s="3"/>
      <c r="B5" s="3"/>
      <c r="C5" s="3"/>
      <c r="D5" s="3"/>
      <c r="E5" s="3"/>
      <c r="F5" s="4"/>
      <c r="G5" s="5"/>
      <c r="H5" s="56" t="s">
        <v>411</v>
      </c>
      <c r="I5" s="7" t="s">
        <v>237</v>
      </c>
      <c r="J5" s="26"/>
      <c r="K5" s="26"/>
      <c r="L5" s="29"/>
      <c r="M5" s="29"/>
      <c r="N5" s="29"/>
      <c r="O5" s="29"/>
      <c r="P5" s="27"/>
    </row>
    <row r="6" spans="1:16" x14ac:dyDescent="0.25">
      <c r="A6" s="3"/>
      <c r="B6" s="3"/>
      <c r="C6" s="3"/>
      <c r="D6" s="3"/>
      <c r="E6" s="3"/>
      <c r="F6" s="4"/>
      <c r="G6" s="5"/>
      <c r="H6" s="56" t="s">
        <v>238</v>
      </c>
      <c r="I6" s="7" t="s">
        <v>242</v>
      </c>
      <c r="J6" s="26"/>
      <c r="K6" s="26"/>
      <c r="L6" s="29"/>
      <c r="M6" s="29"/>
      <c r="N6" s="29"/>
      <c r="O6" s="29"/>
      <c r="P6" s="27"/>
    </row>
    <row r="7" spans="1:16" x14ac:dyDescent="0.25">
      <c r="A7" s="3"/>
      <c r="B7" s="3"/>
      <c r="C7" s="3"/>
      <c r="D7" s="3"/>
      <c r="E7" s="3"/>
      <c r="F7" s="4"/>
      <c r="G7" s="5"/>
      <c r="H7" s="56" t="s">
        <v>239</v>
      </c>
      <c r="I7" s="7" t="s">
        <v>243</v>
      </c>
      <c r="J7" s="26"/>
      <c r="K7" s="26"/>
      <c r="L7" s="29"/>
      <c r="M7" s="29"/>
      <c r="N7" s="29"/>
      <c r="O7" s="29"/>
      <c r="P7" s="27"/>
    </row>
    <row r="8" spans="1:16" x14ac:dyDescent="0.25">
      <c r="A8" s="3"/>
      <c r="B8" s="3"/>
      <c r="C8" s="3"/>
      <c r="D8" s="3"/>
      <c r="E8" s="3"/>
      <c r="F8" s="4"/>
      <c r="G8" s="5"/>
      <c r="H8" s="56" t="s">
        <v>240</v>
      </c>
      <c r="I8" s="7" t="s">
        <v>244</v>
      </c>
      <c r="J8" s="26"/>
      <c r="K8" s="26"/>
      <c r="L8" s="29"/>
      <c r="M8" s="29"/>
      <c r="N8" s="29"/>
      <c r="O8" s="29"/>
      <c r="P8" s="27"/>
    </row>
    <row r="9" spans="1:16" x14ac:dyDescent="0.25">
      <c r="A9" s="3"/>
      <c r="B9" s="3"/>
      <c r="C9" s="3"/>
      <c r="D9" s="3"/>
      <c r="E9" s="3"/>
      <c r="F9" s="4"/>
      <c r="G9" s="5"/>
      <c r="H9" s="56" t="s">
        <v>241</v>
      </c>
      <c r="I9" s="7" t="s">
        <v>245</v>
      </c>
      <c r="J9" s="26"/>
      <c r="K9" s="26"/>
      <c r="L9" s="29"/>
      <c r="M9" s="29"/>
      <c r="N9" s="29"/>
      <c r="O9" s="29"/>
      <c r="P9" s="27"/>
    </row>
    <row r="10" spans="1:16" ht="25.5" x14ac:dyDescent="0.25">
      <c r="A10" s="3" t="s">
        <v>5</v>
      </c>
      <c r="B10" s="3" t="s">
        <v>74</v>
      </c>
      <c r="C10" s="3">
        <f>COUNTIF($B$10:B10,B10)</f>
        <v>1</v>
      </c>
      <c r="D10" s="3" t="str">
        <f t="shared" ref="D10:D45" si="0">CONCATENATE(B10,"_",C10)</f>
        <v>IG_1</v>
      </c>
      <c r="E10" s="3" t="s">
        <v>256</v>
      </c>
      <c r="F10" s="4" t="s">
        <v>6</v>
      </c>
      <c r="G10" s="5" t="s">
        <v>138</v>
      </c>
      <c r="H10" s="11" t="s">
        <v>139</v>
      </c>
      <c r="I10" s="7" t="s">
        <v>140</v>
      </c>
      <c r="J10" s="26" t="s">
        <v>7</v>
      </c>
      <c r="K10" s="26"/>
      <c r="L10" s="29"/>
      <c r="M10" s="29"/>
      <c r="N10" s="29"/>
      <c r="O10" s="29"/>
      <c r="P10" s="27"/>
    </row>
    <row r="11" spans="1:16" ht="25.5" x14ac:dyDescent="0.25">
      <c r="A11" s="3" t="s">
        <v>5</v>
      </c>
      <c r="B11" s="3" t="s">
        <v>74</v>
      </c>
      <c r="C11" s="67">
        <f>COUNTIF($B$10:B11,B11)</f>
        <v>2</v>
      </c>
      <c r="D11" s="3" t="str">
        <f t="shared" si="0"/>
        <v>IG_2</v>
      </c>
      <c r="E11" s="3" t="s">
        <v>257</v>
      </c>
      <c r="F11" s="4" t="s">
        <v>6</v>
      </c>
      <c r="G11" s="5" t="s">
        <v>142</v>
      </c>
      <c r="H11" s="11" t="s">
        <v>141</v>
      </c>
      <c r="I11" s="7" t="s">
        <v>137</v>
      </c>
      <c r="J11" s="26" t="s">
        <v>7</v>
      </c>
      <c r="K11" s="26"/>
      <c r="L11" s="29"/>
      <c r="M11" s="29"/>
      <c r="N11" s="29"/>
      <c r="O11" s="29"/>
      <c r="P11" s="27"/>
    </row>
    <row r="12" spans="1:16" ht="26.25" thickBot="1" x14ac:dyDescent="0.3">
      <c r="A12" s="3" t="s">
        <v>5</v>
      </c>
      <c r="B12" s="3" t="s">
        <v>74</v>
      </c>
      <c r="C12" s="67">
        <f>COUNTIF($B$10:B12,B12)</f>
        <v>3</v>
      </c>
      <c r="D12" s="3" t="str">
        <f t="shared" si="0"/>
        <v>IG_3</v>
      </c>
      <c r="E12" s="3" t="s">
        <v>258</v>
      </c>
      <c r="F12" s="4" t="s">
        <v>6</v>
      </c>
      <c r="G12" s="5" t="s">
        <v>145</v>
      </c>
      <c r="H12" s="11" t="s">
        <v>440</v>
      </c>
      <c r="I12" s="7" t="s">
        <v>97</v>
      </c>
      <c r="J12" s="26" t="s">
        <v>7</v>
      </c>
      <c r="K12" s="26" t="s">
        <v>162</v>
      </c>
      <c r="L12" s="29"/>
      <c r="M12" s="29"/>
      <c r="N12" s="29"/>
      <c r="O12" s="29"/>
      <c r="P12" s="27"/>
    </row>
    <row r="13" spans="1:16" ht="27" customHeight="1" thickTop="1" x14ac:dyDescent="0.25">
      <c r="A13" s="3" t="s">
        <v>5</v>
      </c>
      <c r="B13" s="3" t="s">
        <v>74</v>
      </c>
      <c r="C13" s="67">
        <f>COUNTIF($B$10:B13,B13)</f>
        <v>4</v>
      </c>
      <c r="D13" s="3" t="str">
        <f t="shared" si="0"/>
        <v>IG_4</v>
      </c>
      <c r="E13" s="3" t="s">
        <v>259</v>
      </c>
      <c r="F13" s="4" t="s">
        <v>6</v>
      </c>
      <c r="G13" s="5" t="s">
        <v>144</v>
      </c>
      <c r="H13" s="11" t="s">
        <v>143</v>
      </c>
      <c r="I13" s="7" t="s">
        <v>137</v>
      </c>
      <c r="J13" s="26" t="s">
        <v>7</v>
      </c>
      <c r="K13" s="26" t="s">
        <v>162</v>
      </c>
      <c r="L13" s="132"/>
      <c r="M13" s="133"/>
      <c r="N13" s="133"/>
      <c r="O13" s="134"/>
      <c r="P13" s="138" t="s">
        <v>528</v>
      </c>
    </row>
    <row r="14" spans="1:16" ht="39" thickBot="1" x14ac:dyDescent="0.3">
      <c r="A14" s="3" t="s">
        <v>5</v>
      </c>
      <c r="B14" s="3" t="s">
        <v>74</v>
      </c>
      <c r="C14" s="67">
        <f>COUNTIF($B$10:B14,B14)</f>
        <v>5</v>
      </c>
      <c r="D14" s="3" t="str">
        <f t="shared" si="0"/>
        <v>IG_5</v>
      </c>
      <c r="E14" s="3" t="s">
        <v>260</v>
      </c>
      <c r="F14" s="4" t="s">
        <v>6</v>
      </c>
      <c r="G14" s="5" t="s">
        <v>146</v>
      </c>
      <c r="H14" s="11" t="s">
        <v>147</v>
      </c>
      <c r="I14" s="7"/>
      <c r="J14" s="26" t="s">
        <v>7</v>
      </c>
      <c r="K14" s="26" t="s">
        <v>162</v>
      </c>
      <c r="L14" s="135"/>
      <c r="M14" s="136"/>
      <c r="N14" s="136"/>
      <c r="O14" s="137"/>
      <c r="P14" s="139"/>
    </row>
    <row r="15" spans="1:16" ht="115.5" thickTop="1" x14ac:dyDescent="0.25">
      <c r="A15" s="3" t="s">
        <v>5</v>
      </c>
      <c r="B15" s="3" t="s">
        <v>74</v>
      </c>
      <c r="C15" s="67">
        <f>COUNTIF($B$10:B15,B15)</f>
        <v>6</v>
      </c>
      <c r="D15" s="3" t="str">
        <f t="shared" si="0"/>
        <v>IG_6</v>
      </c>
      <c r="E15" s="3" t="s">
        <v>263</v>
      </c>
      <c r="F15" s="4" t="s">
        <v>6</v>
      </c>
      <c r="G15" s="5" t="s">
        <v>99</v>
      </c>
      <c r="H15" s="11" t="s">
        <v>412</v>
      </c>
      <c r="I15" s="71" t="s">
        <v>233</v>
      </c>
      <c r="J15" s="26" t="s">
        <v>7</v>
      </c>
      <c r="K15" s="26" t="s">
        <v>163</v>
      </c>
      <c r="L15" s="29"/>
      <c r="M15" s="29"/>
      <c r="N15" s="29"/>
      <c r="O15" s="29"/>
      <c r="P15" s="27"/>
    </row>
    <row r="16" spans="1:16" ht="102.75" thickBot="1" x14ac:dyDescent="0.3">
      <c r="A16" s="3" t="s">
        <v>5</v>
      </c>
      <c r="B16" s="3" t="s">
        <v>74</v>
      </c>
      <c r="C16" s="67">
        <f>COUNTIF($B$10:B16,B16)</f>
        <v>7</v>
      </c>
      <c r="D16" s="3" t="str">
        <f t="shared" si="0"/>
        <v>IG_7</v>
      </c>
      <c r="E16" s="3" t="s">
        <v>266</v>
      </c>
      <c r="F16" s="5" t="s">
        <v>6</v>
      </c>
      <c r="G16" s="5" t="s">
        <v>8</v>
      </c>
      <c r="H16" s="11" t="s">
        <v>359</v>
      </c>
      <c r="I16" s="71" t="s">
        <v>441</v>
      </c>
      <c r="J16" s="26" t="s">
        <v>7</v>
      </c>
      <c r="K16" s="26" t="s">
        <v>163</v>
      </c>
      <c r="L16" s="29"/>
      <c r="M16" s="29"/>
      <c r="N16" s="29"/>
      <c r="O16" s="29"/>
      <c r="P16" s="27"/>
    </row>
    <row r="17" spans="1:16" ht="78" thickTop="1" thickBot="1" x14ac:dyDescent="0.3">
      <c r="A17" s="3" t="s">
        <v>5</v>
      </c>
      <c r="B17" s="3" t="s">
        <v>74</v>
      </c>
      <c r="C17" s="67">
        <f>COUNTIF($B$10:B17,B17)</f>
        <v>8</v>
      </c>
      <c r="D17" s="3" t="str">
        <f t="shared" si="0"/>
        <v>IG_8</v>
      </c>
      <c r="E17" s="3" t="s">
        <v>267</v>
      </c>
      <c r="F17" s="5" t="s">
        <v>6</v>
      </c>
      <c r="G17" s="5" t="s">
        <v>119</v>
      </c>
      <c r="H17" s="11" t="s">
        <v>391</v>
      </c>
      <c r="I17" s="8" t="s">
        <v>151</v>
      </c>
      <c r="J17" s="26" t="s">
        <v>7</v>
      </c>
      <c r="K17" s="26" t="s">
        <v>162</v>
      </c>
      <c r="L17" s="34" t="s">
        <v>480</v>
      </c>
      <c r="M17" s="55" t="s">
        <v>481</v>
      </c>
      <c r="N17" s="54" t="s">
        <v>482</v>
      </c>
      <c r="O17" s="37" t="s">
        <v>483</v>
      </c>
      <c r="P17" s="86" t="s">
        <v>484</v>
      </c>
    </row>
    <row r="18" spans="1:16" ht="180.95" customHeight="1" thickTop="1" x14ac:dyDescent="0.25">
      <c r="A18" s="3" t="s">
        <v>5</v>
      </c>
      <c r="B18" s="3" t="s">
        <v>74</v>
      </c>
      <c r="C18" s="67">
        <f>COUNTIF($B$10:B18,B18)</f>
        <v>9</v>
      </c>
      <c r="D18" s="3" t="str">
        <f t="shared" si="0"/>
        <v>IG_9</v>
      </c>
      <c r="E18" s="3" t="s">
        <v>268</v>
      </c>
      <c r="F18" s="5" t="s">
        <v>6</v>
      </c>
      <c r="G18" s="5" t="s">
        <v>120</v>
      </c>
      <c r="H18" s="11" t="s">
        <v>332</v>
      </c>
      <c r="I18" s="71" t="s">
        <v>360</v>
      </c>
      <c r="J18" s="26" t="s">
        <v>7</v>
      </c>
      <c r="K18" s="26" t="s">
        <v>163</v>
      </c>
      <c r="L18" s="29"/>
      <c r="M18" s="29"/>
      <c r="N18" s="29"/>
      <c r="O18" s="29"/>
      <c r="P18" s="27"/>
    </row>
    <row r="19" spans="1:16" ht="38.25" x14ac:dyDescent="0.25">
      <c r="A19" s="3" t="s">
        <v>5</v>
      </c>
      <c r="B19" s="3" t="s">
        <v>74</v>
      </c>
      <c r="C19" s="67">
        <f>COUNTIF($B$10:B19,B19)</f>
        <v>10</v>
      </c>
      <c r="D19" s="3" t="str">
        <f t="shared" si="0"/>
        <v>IG_10</v>
      </c>
      <c r="E19" s="3" t="s">
        <v>270</v>
      </c>
      <c r="F19" s="5" t="s">
        <v>6</v>
      </c>
      <c r="G19" s="5" t="s">
        <v>98</v>
      </c>
      <c r="H19" s="74" t="s">
        <v>413</v>
      </c>
      <c r="I19" s="71" t="s">
        <v>417</v>
      </c>
      <c r="J19" s="26" t="s">
        <v>7</v>
      </c>
      <c r="K19" s="26" t="s">
        <v>163</v>
      </c>
      <c r="L19" s="29"/>
      <c r="M19" s="29"/>
      <c r="N19" s="29"/>
      <c r="O19" s="29"/>
      <c r="P19" s="27"/>
    </row>
    <row r="20" spans="1:16" s="76" customFormat="1" ht="102" x14ac:dyDescent="0.25">
      <c r="A20" s="67"/>
      <c r="B20" s="67"/>
      <c r="C20" s="67"/>
      <c r="D20" s="67"/>
      <c r="E20" s="67"/>
      <c r="F20" s="69"/>
      <c r="G20" s="69"/>
      <c r="H20" s="74" t="s">
        <v>415</v>
      </c>
      <c r="I20" s="71" t="s">
        <v>414</v>
      </c>
      <c r="J20" s="79"/>
      <c r="K20" s="79"/>
      <c r="L20" s="29"/>
      <c r="M20" s="29"/>
      <c r="N20" s="29"/>
      <c r="O20" s="29"/>
      <c r="P20" s="27"/>
    </row>
    <row r="21" spans="1:16" ht="102" x14ac:dyDescent="0.25">
      <c r="A21" s="3" t="s">
        <v>5</v>
      </c>
      <c r="B21" s="3" t="s">
        <v>74</v>
      </c>
      <c r="C21" s="67">
        <f>COUNTIF($B$10:B21,B21)</f>
        <v>11</v>
      </c>
      <c r="D21" s="3" t="str">
        <f t="shared" si="0"/>
        <v>IG_11</v>
      </c>
      <c r="E21" s="3" t="s">
        <v>271</v>
      </c>
      <c r="F21" s="5" t="s">
        <v>6</v>
      </c>
      <c r="G21" s="5" t="s">
        <v>10</v>
      </c>
      <c r="H21" s="74" t="s">
        <v>418</v>
      </c>
      <c r="I21" s="71" t="s">
        <v>414</v>
      </c>
      <c r="J21" s="26" t="s">
        <v>7</v>
      </c>
      <c r="K21" s="26" t="s">
        <v>163</v>
      </c>
      <c r="L21" s="29"/>
      <c r="M21" s="29"/>
      <c r="N21" s="29"/>
      <c r="O21" s="29"/>
      <c r="P21" s="27"/>
    </row>
    <row r="22" spans="1:16" ht="153" x14ac:dyDescent="0.25">
      <c r="A22" s="3" t="s">
        <v>5</v>
      </c>
      <c r="B22" s="3" t="s">
        <v>74</v>
      </c>
      <c r="C22" s="67">
        <f>COUNTIF($B$10:B22,B22)</f>
        <v>12</v>
      </c>
      <c r="D22" s="3" t="str">
        <f t="shared" si="0"/>
        <v>IG_12</v>
      </c>
      <c r="E22" s="3" t="s">
        <v>269</v>
      </c>
      <c r="F22" s="5" t="s">
        <v>6</v>
      </c>
      <c r="G22" s="5" t="s">
        <v>9</v>
      </c>
      <c r="H22" s="11" t="s">
        <v>361</v>
      </c>
      <c r="I22" s="71" t="s">
        <v>419</v>
      </c>
      <c r="J22" s="26" t="s">
        <v>7</v>
      </c>
      <c r="K22" s="26" t="s">
        <v>163</v>
      </c>
      <c r="L22" s="29"/>
      <c r="M22" s="29"/>
      <c r="N22" s="29"/>
      <c r="O22" s="29"/>
      <c r="P22" s="27"/>
    </row>
    <row r="23" spans="1:16" s="76" customFormat="1" ht="76.5" x14ac:dyDescent="0.25">
      <c r="A23" s="67" t="s">
        <v>5</v>
      </c>
      <c r="B23" s="67" t="s">
        <v>74</v>
      </c>
      <c r="C23" s="67">
        <f>COUNTIF($B$10:B23,B23)</f>
        <v>13</v>
      </c>
      <c r="D23" s="67" t="str">
        <f t="shared" si="0"/>
        <v>IG_13</v>
      </c>
      <c r="E23" s="67" t="s">
        <v>261</v>
      </c>
      <c r="F23" s="68" t="s">
        <v>6</v>
      </c>
      <c r="G23" s="69" t="s">
        <v>148</v>
      </c>
      <c r="H23" s="74" t="s">
        <v>442</v>
      </c>
      <c r="I23" s="71" t="s">
        <v>443</v>
      </c>
      <c r="J23" s="79" t="s">
        <v>7</v>
      </c>
      <c r="K23" s="79" t="s">
        <v>162</v>
      </c>
      <c r="L23" s="80"/>
      <c r="M23" s="81"/>
      <c r="N23" s="81"/>
      <c r="O23" s="81"/>
      <c r="P23" s="81"/>
    </row>
    <row r="24" spans="1:16" ht="51" x14ac:dyDescent="0.25">
      <c r="A24" s="3" t="s">
        <v>5</v>
      </c>
      <c r="B24" s="3" t="s">
        <v>74</v>
      </c>
      <c r="C24" s="67">
        <f>COUNTIF($B$10:B24,B24)</f>
        <v>14</v>
      </c>
      <c r="D24" s="3" t="str">
        <f>CONCATENATE(B24,"_",C24)</f>
        <v>IG_14</v>
      </c>
      <c r="E24" s="3" t="s">
        <v>264</v>
      </c>
      <c r="F24" s="4" t="s">
        <v>6</v>
      </c>
      <c r="G24" s="5" t="s">
        <v>410</v>
      </c>
      <c r="H24" s="11" t="s">
        <v>420</v>
      </c>
      <c r="I24" s="8" t="s">
        <v>97</v>
      </c>
      <c r="J24" s="26" t="s">
        <v>7</v>
      </c>
      <c r="K24" s="26" t="s">
        <v>163</v>
      </c>
      <c r="L24" s="29"/>
      <c r="M24" s="29"/>
      <c r="N24" s="29"/>
      <c r="O24" s="29"/>
      <c r="P24" s="27"/>
    </row>
    <row r="25" spans="1:16" ht="51" x14ac:dyDescent="0.25">
      <c r="A25" s="3" t="s">
        <v>5</v>
      </c>
      <c r="B25" s="3" t="s">
        <v>74</v>
      </c>
      <c r="C25" s="67">
        <f>COUNTIF($B$10:B25,B25)</f>
        <v>15</v>
      </c>
      <c r="D25" s="3" t="str">
        <f>CONCATENATE(B25,"_",C25)</f>
        <v>IG_15</v>
      </c>
      <c r="E25" s="3" t="s">
        <v>265</v>
      </c>
      <c r="F25" s="4" t="s">
        <v>6</v>
      </c>
      <c r="G25" s="5" t="s">
        <v>159</v>
      </c>
      <c r="H25" s="11" t="s">
        <v>444</v>
      </c>
      <c r="I25" s="8"/>
      <c r="J25" s="26" t="s">
        <v>7</v>
      </c>
      <c r="K25" s="26" t="s">
        <v>164</v>
      </c>
      <c r="L25" s="29"/>
      <c r="M25" s="29"/>
      <c r="N25" s="29"/>
      <c r="O25" s="29"/>
      <c r="P25" s="27"/>
    </row>
    <row r="26" spans="1:16" s="76" customFormat="1" ht="38.25" x14ac:dyDescent="0.25">
      <c r="A26" s="67" t="s">
        <v>5</v>
      </c>
      <c r="B26" s="67" t="s">
        <v>74</v>
      </c>
      <c r="C26" s="67">
        <f>COUNTIF($B$10:B26,B26)</f>
        <v>16</v>
      </c>
      <c r="D26" s="67" t="str">
        <f t="shared" si="0"/>
        <v>IG_16</v>
      </c>
      <c r="E26" s="67" t="s">
        <v>336</v>
      </c>
      <c r="F26" s="68" t="s">
        <v>6</v>
      </c>
      <c r="G26" s="69" t="s">
        <v>148</v>
      </c>
      <c r="H26" s="74" t="s">
        <v>334</v>
      </c>
      <c r="I26" s="71" t="s">
        <v>335</v>
      </c>
      <c r="J26" s="79" t="s">
        <v>7</v>
      </c>
      <c r="K26" s="79" t="s">
        <v>162</v>
      </c>
      <c r="L26" s="80"/>
      <c r="M26" s="81"/>
      <c r="N26" s="81"/>
      <c r="O26" s="81"/>
      <c r="P26" s="81"/>
    </row>
    <row r="27" spans="1:16" s="76" customFormat="1" ht="39" thickBot="1" x14ac:dyDescent="0.3">
      <c r="A27" s="67" t="s">
        <v>5</v>
      </c>
      <c r="B27" s="67" t="s">
        <v>74</v>
      </c>
      <c r="C27" s="67">
        <f>COUNTIF($B$10:B27,B27)</f>
        <v>17</v>
      </c>
      <c r="D27" s="67" t="str">
        <f t="shared" si="0"/>
        <v>IG_17</v>
      </c>
      <c r="E27" s="67" t="s">
        <v>337</v>
      </c>
      <c r="F27" s="68" t="s">
        <v>6</v>
      </c>
      <c r="G27" s="69" t="s">
        <v>148</v>
      </c>
      <c r="H27" s="74" t="s">
        <v>338</v>
      </c>
      <c r="I27" s="71" t="s">
        <v>137</v>
      </c>
      <c r="J27" s="79" t="s">
        <v>7</v>
      </c>
      <c r="K27" s="79" t="s">
        <v>162</v>
      </c>
      <c r="L27" s="80"/>
      <c r="M27" s="81"/>
      <c r="N27" s="81"/>
      <c r="O27" s="81"/>
      <c r="P27" s="81"/>
    </row>
    <row r="28" spans="1:16" ht="144.6" customHeight="1" thickTop="1" thickBot="1" x14ac:dyDescent="0.3">
      <c r="A28" s="3" t="s">
        <v>5</v>
      </c>
      <c r="B28" s="3" t="s">
        <v>74</v>
      </c>
      <c r="C28" s="67">
        <f>COUNTIF($B$10:B28,B28)</f>
        <v>18</v>
      </c>
      <c r="D28" s="3" t="str">
        <f t="shared" si="0"/>
        <v>IG_18</v>
      </c>
      <c r="E28" s="3" t="s">
        <v>262</v>
      </c>
      <c r="F28" s="4" t="s">
        <v>6</v>
      </c>
      <c r="G28" s="5" t="s">
        <v>363</v>
      </c>
      <c r="H28" s="11" t="s">
        <v>339</v>
      </c>
      <c r="I28" s="71" t="s">
        <v>421</v>
      </c>
      <c r="J28" s="26" t="s">
        <v>7</v>
      </c>
      <c r="K28" s="26" t="s">
        <v>162</v>
      </c>
      <c r="L28" s="57"/>
      <c r="M28" s="58"/>
      <c r="N28" s="58"/>
      <c r="O28" s="59"/>
      <c r="P28" s="60" t="s">
        <v>529</v>
      </c>
    </row>
    <row r="29" spans="1:16" ht="180" thickTop="1" thickBot="1" x14ac:dyDescent="0.3">
      <c r="A29" s="3" t="s">
        <v>46</v>
      </c>
      <c r="B29" s="3" t="s">
        <v>78</v>
      </c>
      <c r="C29" s="67">
        <f>COUNTIF($B$10:B29,B29)</f>
        <v>1</v>
      </c>
      <c r="D29" s="3" t="str">
        <f t="shared" si="0"/>
        <v>Sante_1</v>
      </c>
      <c r="E29" s="3" t="s">
        <v>305</v>
      </c>
      <c r="F29" s="5" t="s">
        <v>6</v>
      </c>
      <c r="G29" s="4" t="s">
        <v>109</v>
      </c>
      <c r="H29" s="11" t="s">
        <v>416</v>
      </c>
      <c r="I29" s="4" t="s">
        <v>445</v>
      </c>
      <c r="J29" s="26" t="s">
        <v>7</v>
      </c>
      <c r="K29" s="26" t="s">
        <v>169</v>
      </c>
      <c r="L29" s="34" t="s">
        <v>202</v>
      </c>
      <c r="M29" s="35" t="s">
        <v>203</v>
      </c>
      <c r="N29" s="36" t="s">
        <v>204</v>
      </c>
      <c r="O29" s="140" t="s">
        <v>516</v>
      </c>
      <c r="P29" s="141"/>
    </row>
    <row r="30" spans="1:16" ht="77.25" thickTop="1" x14ac:dyDescent="0.25">
      <c r="A30" s="3" t="s">
        <v>46</v>
      </c>
      <c r="B30" s="3" t="s">
        <v>78</v>
      </c>
      <c r="C30" s="67">
        <f>COUNTIF($B$10:B30,B30)</f>
        <v>2</v>
      </c>
      <c r="D30" s="3" t="str">
        <f t="shared" si="0"/>
        <v>Sante_2</v>
      </c>
      <c r="E30" s="3" t="s">
        <v>306</v>
      </c>
      <c r="F30" s="5" t="s">
        <v>6</v>
      </c>
      <c r="G30" s="5" t="s">
        <v>110</v>
      </c>
      <c r="H30" s="11" t="s">
        <v>422</v>
      </c>
      <c r="I30" s="4" t="s">
        <v>423</v>
      </c>
      <c r="J30" s="26" t="s">
        <v>7</v>
      </c>
      <c r="K30" s="26" t="s">
        <v>169</v>
      </c>
      <c r="L30" s="171" t="s">
        <v>201</v>
      </c>
      <c r="M30" s="172"/>
      <c r="N30" s="172"/>
      <c r="O30" s="172"/>
      <c r="P30" s="173"/>
    </row>
    <row r="31" spans="1:16" ht="131.1" customHeight="1" thickBot="1" x14ac:dyDescent="0.3">
      <c r="A31" s="3" t="s">
        <v>46</v>
      </c>
      <c r="B31" s="3" t="s">
        <v>78</v>
      </c>
      <c r="C31" s="67">
        <f>COUNTIF($B$10:B31,B31)</f>
        <v>3</v>
      </c>
      <c r="D31" s="3" t="str">
        <f t="shared" si="0"/>
        <v>Sante_3</v>
      </c>
      <c r="E31" s="3" t="s">
        <v>307</v>
      </c>
      <c r="F31" s="5" t="s">
        <v>6</v>
      </c>
      <c r="G31" s="5" t="s">
        <v>111</v>
      </c>
      <c r="H31" s="11" t="s">
        <v>424</v>
      </c>
      <c r="I31" s="4" t="s">
        <v>446</v>
      </c>
      <c r="J31" s="26" t="s">
        <v>7</v>
      </c>
      <c r="K31" s="26" t="s">
        <v>169</v>
      </c>
      <c r="L31" s="174"/>
      <c r="M31" s="175"/>
      <c r="N31" s="175"/>
      <c r="O31" s="175"/>
      <c r="P31" s="176"/>
    </row>
    <row r="32" spans="1:16" ht="156" customHeight="1" thickTop="1" x14ac:dyDescent="0.25">
      <c r="A32" s="3" t="s">
        <v>46</v>
      </c>
      <c r="B32" s="3" t="s">
        <v>78</v>
      </c>
      <c r="C32" s="67">
        <f>COUNTIF($B$10:B32,B32)</f>
        <v>4</v>
      </c>
      <c r="D32" s="3" t="str">
        <f t="shared" si="0"/>
        <v>Sante_4</v>
      </c>
      <c r="E32" s="3" t="s">
        <v>308</v>
      </c>
      <c r="F32" s="5" t="s">
        <v>6</v>
      </c>
      <c r="G32" s="5" t="s">
        <v>234</v>
      </c>
      <c r="H32" s="11" t="s">
        <v>426</v>
      </c>
      <c r="I32" s="4" t="s">
        <v>447</v>
      </c>
      <c r="J32" s="26" t="s">
        <v>7</v>
      </c>
      <c r="K32" s="26" t="s">
        <v>169</v>
      </c>
      <c r="L32" s="154" t="s">
        <v>463</v>
      </c>
      <c r="M32" s="152" t="s">
        <v>466</v>
      </c>
      <c r="N32" s="150" t="s">
        <v>467</v>
      </c>
      <c r="O32" s="142" t="s">
        <v>464</v>
      </c>
      <c r="P32" s="125" t="s">
        <v>465</v>
      </c>
    </row>
    <row r="33" spans="1:16" ht="189" customHeight="1" thickBot="1" x14ac:dyDescent="0.3">
      <c r="A33" s="3" t="s">
        <v>46</v>
      </c>
      <c r="B33" s="3" t="s">
        <v>78</v>
      </c>
      <c r="C33" s="67">
        <f>COUNTIF($B$10:B33,B33)</f>
        <v>5</v>
      </c>
      <c r="D33" s="3" t="str">
        <f t="shared" si="0"/>
        <v>Sante_5</v>
      </c>
      <c r="E33" s="3" t="s">
        <v>309</v>
      </c>
      <c r="F33" s="5" t="s">
        <v>6</v>
      </c>
      <c r="G33" s="5" t="s">
        <v>254</v>
      </c>
      <c r="H33" s="11" t="s">
        <v>425</v>
      </c>
      <c r="I33" s="4" t="s">
        <v>448</v>
      </c>
      <c r="J33" s="26" t="s">
        <v>7</v>
      </c>
      <c r="K33" s="26" t="s">
        <v>169</v>
      </c>
      <c r="L33" s="155"/>
      <c r="M33" s="153"/>
      <c r="N33" s="151"/>
      <c r="O33" s="144"/>
      <c r="P33" s="127"/>
    </row>
    <row r="34" spans="1:16" ht="67.5" thickTop="1" thickBot="1" x14ac:dyDescent="0.3">
      <c r="A34" s="14" t="s">
        <v>47</v>
      </c>
      <c r="B34" s="14" t="s">
        <v>79</v>
      </c>
      <c r="C34" s="67">
        <f>COUNTIF($B$10:B34,B34)</f>
        <v>1</v>
      </c>
      <c r="D34" s="3" t="str">
        <f t="shared" si="0"/>
        <v>Nut_1</v>
      </c>
      <c r="E34" s="3" t="s">
        <v>311</v>
      </c>
      <c r="F34" s="4" t="s">
        <v>48</v>
      </c>
      <c r="G34" s="4" t="s">
        <v>49</v>
      </c>
      <c r="H34" s="11" t="s">
        <v>346</v>
      </c>
      <c r="I34" s="5" t="s">
        <v>50</v>
      </c>
      <c r="J34" s="15" t="s">
        <v>51</v>
      </c>
      <c r="K34" s="26" t="s">
        <v>166</v>
      </c>
      <c r="L34" s="147" t="s">
        <v>218</v>
      </c>
      <c r="M34" s="148"/>
      <c r="N34" s="148"/>
      <c r="O34" s="149"/>
      <c r="P34" s="38" t="s">
        <v>217</v>
      </c>
    </row>
    <row r="35" spans="1:16" ht="67.5" thickTop="1" thickBot="1" x14ac:dyDescent="0.3">
      <c r="A35" s="14" t="s">
        <v>47</v>
      </c>
      <c r="B35" s="14" t="s">
        <v>79</v>
      </c>
      <c r="C35" s="67">
        <f>COUNTIF($B$10:B35,B35)</f>
        <v>2</v>
      </c>
      <c r="D35" s="3" t="str">
        <f t="shared" si="0"/>
        <v>Nut_2</v>
      </c>
      <c r="E35" s="3" t="s">
        <v>312</v>
      </c>
      <c r="F35" s="4" t="s">
        <v>48</v>
      </c>
      <c r="G35" s="4" t="s">
        <v>112</v>
      </c>
      <c r="H35" s="11" t="s">
        <v>347</v>
      </c>
      <c r="I35" s="4" t="s">
        <v>50</v>
      </c>
      <c r="J35" s="15" t="s">
        <v>51</v>
      </c>
      <c r="K35" s="26" t="s">
        <v>166</v>
      </c>
      <c r="L35" s="147" t="s">
        <v>219</v>
      </c>
      <c r="M35" s="148"/>
      <c r="N35" s="148" t="s">
        <v>206</v>
      </c>
      <c r="O35" s="149" t="s">
        <v>207</v>
      </c>
      <c r="P35" s="38" t="s">
        <v>220</v>
      </c>
    </row>
    <row r="36" spans="1:16" ht="55.5" thickTop="1" thickBot="1" x14ac:dyDescent="0.3">
      <c r="A36" s="3" t="s">
        <v>53</v>
      </c>
      <c r="B36" s="3" t="s">
        <v>80</v>
      </c>
      <c r="C36" s="67">
        <f>COUNTIF($B$10:B36,B36)</f>
        <v>1</v>
      </c>
      <c r="D36" s="3" t="str">
        <f t="shared" si="0"/>
        <v>Educ_1</v>
      </c>
      <c r="E36" s="3" t="s">
        <v>314</v>
      </c>
      <c r="F36" s="4" t="s">
        <v>6</v>
      </c>
      <c r="G36" s="5" t="s">
        <v>54</v>
      </c>
      <c r="H36" s="11" t="s">
        <v>427</v>
      </c>
      <c r="I36" s="5" t="s">
        <v>428</v>
      </c>
      <c r="J36" s="26" t="s">
        <v>7</v>
      </c>
      <c r="K36" s="26" t="s">
        <v>167</v>
      </c>
      <c r="L36" s="49" t="s">
        <v>473</v>
      </c>
      <c r="M36" s="50" t="s">
        <v>474</v>
      </c>
      <c r="N36" s="51" t="s">
        <v>475</v>
      </c>
      <c r="O36" s="52" t="s">
        <v>476</v>
      </c>
      <c r="P36" s="53" t="s">
        <v>477</v>
      </c>
    </row>
    <row r="37" spans="1:16" ht="69" thickTop="1" thickBot="1" x14ac:dyDescent="0.3">
      <c r="A37" s="3" t="s">
        <v>53</v>
      </c>
      <c r="B37" s="3" t="s">
        <v>80</v>
      </c>
      <c r="C37" s="67">
        <f>COUNTIF($B$10:B37,B37)</f>
        <v>2</v>
      </c>
      <c r="D37" s="3" t="str">
        <f t="shared" si="0"/>
        <v>Educ_2</v>
      </c>
      <c r="E37" s="3" t="s">
        <v>315</v>
      </c>
      <c r="F37" s="4" t="s">
        <v>6</v>
      </c>
      <c r="G37" s="5" t="s">
        <v>55</v>
      </c>
      <c r="H37" s="11" t="s">
        <v>429</v>
      </c>
      <c r="I37" s="4" t="s">
        <v>89</v>
      </c>
      <c r="J37" s="26" t="s">
        <v>7</v>
      </c>
      <c r="K37" s="26" t="s">
        <v>167</v>
      </c>
      <c r="L37" s="49" t="s">
        <v>468</v>
      </c>
      <c r="M37" s="50" t="s">
        <v>469</v>
      </c>
      <c r="N37" s="51" t="s">
        <v>470</v>
      </c>
      <c r="O37" s="52" t="s">
        <v>471</v>
      </c>
      <c r="P37" s="53" t="s">
        <v>472</v>
      </c>
    </row>
    <row r="38" spans="1:16" ht="105" customHeight="1" thickTop="1" thickBot="1" x14ac:dyDescent="0.3">
      <c r="A38" s="3" t="s">
        <v>53</v>
      </c>
      <c r="B38" s="3" t="s">
        <v>80</v>
      </c>
      <c r="C38" s="67">
        <f>COUNTIF($B$10:B38,B38)</f>
        <v>3</v>
      </c>
      <c r="D38" s="3" t="str">
        <f t="shared" si="0"/>
        <v>Educ_3</v>
      </c>
      <c r="E38" s="3" t="s">
        <v>316</v>
      </c>
      <c r="F38" s="5" t="s">
        <v>6</v>
      </c>
      <c r="G38" s="5" t="s">
        <v>90</v>
      </c>
      <c r="H38" s="11" t="s">
        <v>430</v>
      </c>
      <c r="I38" s="5" t="s">
        <v>183</v>
      </c>
      <c r="J38" s="26" t="s">
        <v>7</v>
      </c>
      <c r="K38" s="26" t="s">
        <v>165</v>
      </c>
      <c r="L38" s="156" t="s">
        <v>201</v>
      </c>
      <c r="M38" s="157"/>
      <c r="N38" s="157"/>
      <c r="O38" s="157"/>
      <c r="P38" s="158"/>
    </row>
    <row r="39" spans="1:16" ht="156.6" customHeight="1" thickTop="1" x14ac:dyDescent="0.25">
      <c r="A39" s="3" t="s">
        <v>92</v>
      </c>
      <c r="B39" s="3" t="s">
        <v>81</v>
      </c>
      <c r="C39" s="67">
        <f>COUNTIF($B$10:B39,B39)</f>
        <v>1</v>
      </c>
      <c r="D39" s="3" t="str">
        <f t="shared" si="0"/>
        <v>Protec_1</v>
      </c>
      <c r="E39" s="3" t="s">
        <v>324</v>
      </c>
      <c r="F39" s="4" t="s">
        <v>6</v>
      </c>
      <c r="G39" s="69" t="s">
        <v>376</v>
      </c>
      <c r="H39" s="11" t="s">
        <v>431</v>
      </c>
      <c r="I39" s="5" t="s">
        <v>123</v>
      </c>
      <c r="J39" s="26" t="s">
        <v>7</v>
      </c>
      <c r="K39" s="26" t="s">
        <v>174</v>
      </c>
      <c r="L39" s="116" t="s">
        <v>229</v>
      </c>
      <c r="M39" s="118"/>
      <c r="N39" s="150" t="s">
        <v>478</v>
      </c>
      <c r="O39" s="185" t="s">
        <v>479</v>
      </c>
      <c r="P39" s="186"/>
    </row>
    <row r="40" spans="1:16" ht="192" thickBot="1" x14ac:dyDescent="0.3">
      <c r="A40" s="3" t="s">
        <v>92</v>
      </c>
      <c r="B40" s="3" t="s">
        <v>81</v>
      </c>
      <c r="C40" s="67">
        <f>COUNTIF($B$10:B40,B40)</f>
        <v>2</v>
      </c>
      <c r="D40" s="3" t="str">
        <f t="shared" si="0"/>
        <v>Protec_2</v>
      </c>
      <c r="E40" s="3" t="s">
        <v>325</v>
      </c>
      <c r="F40" s="4" t="s">
        <v>6</v>
      </c>
      <c r="G40" s="69" t="s">
        <v>375</v>
      </c>
      <c r="H40" s="11" t="s">
        <v>450</v>
      </c>
      <c r="I40" s="4" t="s">
        <v>449</v>
      </c>
      <c r="J40" s="26" t="s">
        <v>7</v>
      </c>
      <c r="K40" s="26" t="s">
        <v>174</v>
      </c>
      <c r="L40" s="122"/>
      <c r="M40" s="124"/>
      <c r="N40" s="151"/>
      <c r="O40" s="187"/>
      <c r="P40" s="188"/>
    </row>
    <row r="41" spans="1:16" ht="306.95" customHeight="1" thickTop="1" thickBot="1" x14ac:dyDescent="0.3">
      <c r="A41" s="3" t="s">
        <v>53</v>
      </c>
      <c r="B41" s="3" t="s">
        <v>80</v>
      </c>
      <c r="C41" s="67">
        <f>COUNTIF($B$10:B41,B41)</f>
        <v>4</v>
      </c>
      <c r="D41" s="3" t="str">
        <f t="shared" si="0"/>
        <v>Educ_4</v>
      </c>
      <c r="E41" s="3" t="s">
        <v>317</v>
      </c>
      <c r="F41" s="5" t="s">
        <v>6</v>
      </c>
      <c r="G41" s="5" t="s">
        <v>56</v>
      </c>
      <c r="H41" s="11" t="s">
        <v>432</v>
      </c>
      <c r="I41" s="73" t="s">
        <v>91</v>
      </c>
      <c r="J41" s="26" t="s">
        <v>7</v>
      </c>
      <c r="K41" s="26" t="s">
        <v>168</v>
      </c>
      <c r="L41" s="182" t="s">
        <v>201</v>
      </c>
      <c r="M41" s="183"/>
      <c r="N41" s="183"/>
      <c r="O41" s="183"/>
      <c r="P41" s="184"/>
    </row>
    <row r="42" spans="1:16" s="18" customFormat="1" ht="307.5" thickTop="1" thickBot="1" x14ac:dyDescent="0.3">
      <c r="A42" s="3" t="s">
        <v>11</v>
      </c>
      <c r="B42" s="3" t="s">
        <v>71</v>
      </c>
      <c r="C42" s="67">
        <f>COUNTIF($B$10:B42,B42)</f>
        <v>1</v>
      </c>
      <c r="D42" s="3" t="str">
        <f t="shared" si="0"/>
        <v>IL_1</v>
      </c>
      <c r="E42" s="3" t="s">
        <v>272</v>
      </c>
      <c r="F42" s="5" t="s">
        <v>6</v>
      </c>
      <c r="G42" s="9" t="s">
        <v>12</v>
      </c>
      <c r="H42" s="11" t="s">
        <v>115</v>
      </c>
      <c r="I42" s="72" t="s">
        <v>433</v>
      </c>
      <c r="J42" s="26" t="s">
        <v>7</v>
      </c>
      <c r="K42" s="26" t="s">
        <v>180</v>
      </c>
      <c r="L42" s="34" t="s">
        <v>195</v>
      </c>
      <c r="M42" s="35" t="s">
        <v>194</v>
      </c>
      <c r="N42" s="36" t="s">
        <v>193</v>
      </c>
      <c r="O42" s="37" t="s">
        <v>192</v>
      </c>
      <c r="P42" s="38" t="s">
        <v>191</v>
      </c>
    </row>
    <row r="43" spans="1:16" ht="52.5" thickTop="1" thickBot="1" x14ac:dyDescent="0.3">
      <c r="A43" s="3" t="s">
        <v>13</v>
      </c>
      <c r="B43" s="3" t="s">
        <v>75</v>
      </c>
      <c r="C43" s="67">
        <f>COUNTIF($B$10:B43,B43)</f>
        <v>1</v>
      </c>
      <c r="D43" s="3" t="str">
        <f t="shared" si="0"/>
        <v>NFI_1</v>
      </c>
      <c r="E43" s="3" t="s">
        <v>273</v>
      </c>
      <c r="F43" s="5" t="s">
        <v>6</v>
      </c>
      <c r="G43" s="5" t="s">
        <v>14</v>
      </c>
      <c r="H43" s="11" t="s">
        <v>15</v>
      </c>
      <c r="I43" s="4"/>
      <c r="J43" s="26" t="s">
        <v>7</v>
      </c>
      <c r="K43" s="26" t="s">
        <v>172</v>
      </c>
      <c r="L43" s="34" t="s">
        <v>186</v>
      </c>
      <c r="M43" s="35" t="s">
        <v>187</v>
      </c>
      <c r="N43" s="36" t="s">
        <v>188</v>
      </c>
      <c r="O43" s="37" t="s">
        <v>189</v>
      </c>
      <c r="P43" s="38" t="s">
        <v>190</v>
      </c>
    </row>
    <row r="44" spans="1:16" s="76" customFormat="1" ht="84.95" customHeight="1" thickTop="1" x14ac:dyDescent="0.25">
      <c r="A44" s="67" t="s">
        <v>13</v>
      </c>
      <c r="B44" s="67" t="s">
        <v>75</v>
      </c>
      <c r="C44" s="67">
        <f>COUNTIF($B$10:B44,B44)</f>
        <v>2</v>
      </c>
      <c r="D44" s="67" t="str">
        <f t="shared" si="0"/>
        <v>NFI_2</v>
      </c>
      <c r="E44" s="67" t="s">
        <v>274</v>
      </c>
      <c r="F44" s="69" t="s">
        <v>6</v>
      </c>
      <c r="G44" s="69" t="s">
        <v>117</v>
      </c>
      <c r="H44" s="74" t="s">
        <v>118</v>
      </c>
      <c r="I44" s="73" t="s">
        <v>434</v>
      </c>
      <c r="J44" s="79" t="s">
        <v>7</v>
      </c>
      <c r="K44" s="79" t="s">
        <v>173</v>
      </c>
      <c r="L44" s="207" t="s">
        <v>369</v>
      </c>
      <c r="M44" s="159" t="s">
        <v>370</v>
      </c>
      <c r="N44" s="161" t="s">
        <v>371</v>
      </c>
      <c r="O44" s="128" t="s">
        <v>373</v>
      </c>
      <c r="P44" s="130" t="s">
        <v>372</v>
      </c>
    </row>
    <row r="45" spans="1:16" ht="99" customHeight="1" thickBot="1" x14ac:dyDescent="0.3">
      <c r="A45" s="3" t="s">
        <v>13</v>
      </c>
      <c r="B45" s="3" t="s">
        <v>75</v>
      </c>
      <c r="C45" s="67">
        <f>COUNTIF($B$10:B45,B45)</f>
        <v>3</v>
      </c>
      <c r="D45" s="3" t="str">
        <f t="shared" si="0"/>
        <v>NFI_3</v>
      </c>
      <c r="E45" s="3" t="s">
        <v>340</v>
      </c>
      <c r="F45" s="5" t="s">
        <v>6</v>
      </c>
      <c r="G45" s="5" t="s">
        <v>341</v>
      </c>
      <c r="H45" s="11" t="s">
        <v>435</v>
      </c>
      <c r="I45" s="10" t="s">
        <v>436</v>
      </c>
      <c r="J45" s="26" t="s">
        <v>7</v>
      </c>
      <c r="K45" s="26" t="s">
        <v>173</v>
      </c>
      <c r="L45" s="208"/>
      <c r="M45" s="192"/>
      <c r="N45" s="191"/>
      <c r="O45" s="190"/>
      <c r="P45" s="189"/>
    </row>
    <row r="46" spans="1:16" ht="51.75" thickTop="1" x14ac:dyDescent="0.25">
      <c r="A46" s="3" t="s">
        <v>13</v>
      </c>
      <c r="B46" s="3" t="s">
        <v>75</v>
      </c>
      <c r="C46" s="67">
        <f>COUNTIF($B$10:B46,B46)</f>
        <v>4</v>
      </c>
      <c r="D46" s="3" t="str">
        <f t="shared" ref="D46:D77" si="1">CONCATENATE(B46,"_",C46)</f>
        <v>NFI_4</v>
      </c>
      <c r="E46" s="3" t="s">
        <v>275</v>
      </c>
      <c r="F46" s="4" t="s">
        <v>6</v>
      </c>
      <c r="G46" s="4" t="s">
        <v>16</v>
      </c>
      <c r="H46" s="11" t="s">
        <v>17</v>
      </c>
      <c r="I46" s="5"/>
      <c r="J46" s="26" t="s">
        <v>7</v>
      </c>
      <c r="K46" s="26" t="s">
        <v>172</v>
      </c>
      <c r="L46" s="117" t="s">
        <v>200</v>
      </c>
      <c r="M46" s="159" t="s">
        <v>199</v>
      </c>
      <c r="N46" s="161" t="s">
        <v>198</v>
      </c>
      <c r="O46" s="128" t="s">
        <v>197</v>
      </c>
      <c r="P46" s="130" t="s">
        <v>196</v>
      </c>
    </row>
    <row r="47" spans="1:16" ht="51.75" thickBot="1" x14ac:dyDescent="0.3">
      <c r="A47" s="3" t="s">
        <v>13</v>
      </c>
      <c r="B47" s="3" t="s">
        <v>75</v>
      </c>
      <c r="C47" s="67">
        <f>COUNTIF($B$10:B47,B47)</f>
        <v>5</v>
      </c>
      <c r="D47" s="3" t="str">
        <f t="shared" si="1"/>
        <v>NFI_5</v>
      </c>
      <c r="E47" s="3" t="s">
        <v>276</v>
      </c>
      <c r="F47" s="4" t="s">
        <v>6</v>
      </c>
      <c r="G47" s="4" t="s">
        <v>16</v>
      </c>
      <c r="H47" s="11" t="s">
        <v>18</v>
      </c>
      <c r="I47" s="4"/>
      <c r="J47" s="26" t="s">
        <v>7</v>
      </c>
      <c r="K47" s="26" t="s">
        <v>172</v>
      </c>
      <c r="L47" s="120"/>
      <c r="M47" s="160"/>
      <c r="N47" s="162"/>
      <c r="O47" s="129"/>
      <c r="P47" s="131"/>
    </row>
    <row r="48" spans="1:16" ht="115.5" thickTop="1" x14ac:dyDescent="0.25">
      <c r="A48" s="3" t="s">
        <v>20</v>
      </c>
      <c r="B48" s="3" t="s">
        <v>20</v>
      </c>
      <c r="C48" s="67">
        <f>COUNTIF($B$10:B48,B48)</f>
        <v>1</v>
      </c>
      <c r="D48" s="3" t="str">
        <f t="shared" si="1"/>
        <v>MSSC_1</v>
      </c>
      <c r="E48" s="3" t="s">
        <v>278</v>
      </c>
      <c r="F48" s="5" t="s">
        <v>6</v>
      </c>
      <c r="G48" s="5" t="s">
        <v>103</v>
      </c>
      <c r="H48" s="11" t="s">
        <v>104</v>
      </c>
      <c r="I48" s="7" t="s">
        <v>232</v>
      </c>
      <c r="J48" s="26" t="s">
        <v>7</v>
      </c>
      <c r="K48" s="26" t="s">
        <v>179</v>
      </c>
      <c r="L48" s="117" t="s">
        <v>485</v>
      </c>
      <c r="M48" s="159" t="s">
        <v>486</v>
      </c>
      <c r="N48" s="161" t="s">
        <v>486</v>
      </c>
      <c r="O48" s="128" t="s">
        <v>487</v>
      </c>
      <c r="P48" s="130" t="s">
        <v>488</v>
      </c>
    </row>
    <row r="49" spans="1:16" ht="257.10000000000002" customHeight="1" thickBot="1" x14ac:dyDescent="0.3">
      <c r="A49" s="3" t="s">
        <v>20</v>
      </c>
      <c r="B49" s="3" t="s">
        <v>20</v>
      </c>
      <c r="C49" s="67">
        <f>COUNTIF($B$10:B49,B49)</f>
        <v>2</v>
      </c>
      <c r="D49" s="3" t="str">
        <f t="shared" si="1"/>
        <v>MSSC_2</v>
      </c>
      <c r="E49" s="3" t="s">
        <v>279</v>
      </c>
      <c r="F49" s="5" t="s">
        <v>6</v>
      </c>
      <c r="G49" s="5" t="s">
        <v>21</v>
      </c>
      <c r="H49" s="11" t="s">
        <v>106</v>
      </c>
      <c r="I49" s="70" t="s">
        <v>386</v>
      </c>
      <c r="J49" s="26" t="s">
        <v>7</v>
      </c>
      <c r="K49" s="26" t="s">
        <v>179</v>
      </c>
      <c r="L49" s="120"/>
      <c r="M49" s="160"/>
      <c r="N49" s="162"/>
      <c r="O49" s="129"/>
      <c r="P49" s="131"/>
    </row>
    <row r="50" spans="1:16" ht="115.5" thickTop="1" x14ac:dyDescent="0.25">
      <c r="A50" s="3" t="s">
        <v>20</v>
      </c>
      <c r="B50" s="3" t="s">
        <v>20</v>
      </c>
      <c r="C50" s="67">
        <f>COUNTIF($B$10:B50,B50)</f>
        <v>3</v>
      </c>
      <c r="D50" s="3" t="str">
        <f t="shared" si="1"/>
        <v>MSSC_3</v>
      </c>
      <c r="E50" s="3" t="s">
        <v>280</v>
      </c>
      <c r="F50" s="5" t="s">
        <v>6</v>
      </c>
      <c r="G50" s="5" t="s">
        <v>102</v>
      </c>
      <c r="H50" s="11" t="s">
        <v>107</v>
      </c>
      <c r="I50" s="5" t="s">
        <v>101</v>
      </c>
      <c r="J50" s="26" t="s">
        <v>7</v>
      </c>
      <c r="K50" s="26" t="s">
        <v>179</v>
      </c>
      <c r="L50" s="87" t="s">
        <v>250</v>
      </c>
      <c r="M50" s="85" t="s">
        <v>249</v>
      </c>
      <c r="N50" s="84" t="s">
        <v>246</v>
      </c>
      <c r="O50" s="83" t="s">
        <v>247</v>
      </c>
      <c r="P50" s="82" t="s">
        <v>248</v>
      </c>
    </row>
    <row r="51" spans="1:16" ht="115.5" thickBot="1" x14ac:dyDescent="0.3">
      <c r="A51" s="3" t="s">
        <v>20</v>
      </c>
      <c r="B51" s="3" t="s">
        <v>20</v>
      </c>
      <c r="C51" s="67">
        <f>COUNTIF($B$10:B51,B51)</f>
        <v>4</v>
      </c>
      <c r="D51" s="3" t="str">
        <f t="shared" si="1"/>
        <v>MSSC_4</v>
      </c>
      <c r="E51" s="3" t="s">
        <v>281</v>
      </c>
      <c r="F51" s="5" t="s">
        <v>6</v>
      </c>
      <c r="G51" s="5" t="s">
        <v>108</v>
      </c>
      <c r="H51" s="11" t="s">
        <v>407</v>
      </c>
      <c r="I51" s="5" t="s">
        <v>100</v>
      </c>
      <c r="J51" s="26" t="s">
        <v>7</v>
      </c>
      <c r="K51" s="26" t="s">
        <v>179</v>
      </c>
      <c r="L51" s="30"/>
      <c r="M51" s="30"/>
      <c r="N51" s="30"/>
      <c r="O51" s="30"/>
      <c r="P51" s="28"/>
    </row>
    <row r="52" spans="1:16" s="76" customFormat="1" ht="52.5" thickTop="1" thickBot="1" x14ac:dyDescent="0.3">
      <c r="A52" s="67"/>
      <c r="B52" s="67" t="s">
        <v>20</v>
      </c>
      <c r="C52" s="67">
        <f>COUNTIF($B$10:B52,B52)</f>
        <v>5</v>
      </c>
      <c r="D52" s="67" t="str">
        <f>CONCATENATE(C52,"_",E52)</f>
        <v>5_MSSC_6</v>
      </c>
      <c r="E52" s="67" t="s">
        <v>408</v>
      </c>
      <c r="F52" s="69" t="s">
        <v>6</v>
      </c>
      <c r="G52" s="69" t="s">
        <v>377</v>
      </c>
      <c r="H52" s="74" t="s">
        <v>378</v>
      </c>
      <c r="I52" s="69" t="s">
        <v>379</v>
      </c>
      <c r="J52" s="79" t="s">
        <v>7</v>
      </c>
      <c r="K52" s="79" t="s">
        <v>380</v>
      </c>
      <c r="L52" s="87" t="s">
        <v>381</v>
      </c>
      <c r="M52" s="145" t="s">
        <v>382</v>
      </c>
      <c r="N52" s="145"/>
      <c r="O52" s="145"/>
      <c r="P52" s="146"/>
    </row>
    <row r="53" spans="1:16" s="76" customFormat="1" ht="52.5" thickTop="1" thickBot="1" x14ac:dyDescent="0.3">
      <c r="A53" s="67"/>
      <c r="B53" s="67" t="s">
        <v>20</v>
      </c>
      <c r="C53" s="67">
        <f>COUNTIF($B$10:B53,B53)</f>
        <v>6</v>
      </c>
      <c r="D53" s="67" t="str">
        <f>CONCATENATE(C53,"_",E53)</f>
        <v>6_MSSC_7</v>
      </c>
      <c r="E53" s="67" t="s">
        <v>409</v>
      </c>
      <c r="F53" s="69" t="s">
        <v>6</v>
      </c>
      <c r="G53" s="69" t="s">
        <v>383</v>
      </c>
      <c r="H53" s="74" t="s">
        <v>437</v>
      </c>
      <c r="I53" s="69" t="s">
        <v>379</v>
      </c>
      <c r="J53" s="79" t="s">
        <v>7</v>
      </c>
      <c r="K53" s="79" t="s">
        <v>380</v>
      </c>
      <c r="L53" s="87" t="s">
        <v>384</v>
      </c>
      <c r="M53" s="145" t="s">
        <v>385</v>
      </c>
      <c r="N53" s="145"/>
      <c r="O53" s="145"/>
      <c r="P53" s="146"/>
    </row>
    <row r="54" spans="1:16" s="18" customFormat="1" ht="186.6" customHeight="1" thickTop="1" thickBot="1" x14ac:dyDescent="0.3">
      <c r="A54" s="3" t="s">
        <v>22</v>
      </c>
      <c r="B54" s="3" t="s">
        <v>76</v>
      </c>
      <c r="C54" s="67">
        <f>COUNTIF($B$10:B54,B54)</f>
        <v>1</v>
      </c>
      <c r="D54" s="3" t="str">
        <f t="shared" si="1"/>
        <v>SecAl_1</v>
      </c>
      <c r="E54" s="3" t="s">
        <v>282</v>
      </c>
      <c r="F54" s="4" t="s">
        <v>6</v>
      </c>
      <c r="G54" s="5" t="s">
        <v>23</v>
      </c>
      <c r="H54" s="11" t="s">
        <v>24</v>
      </c>
      <c r="I54" s="5" t="s">
        <v>342</v>
      </c>
      <c r="J54" s="26" t="s">
        <v>7</v>
      </c>
      <c r="K54" s="26" t="s">
        <v>177</v>
      </c>
      <c r="L54" s="202" t="s">
        <v>251</v>
      </c>
      <c r="M54" s="203"/>
      <c r="N54" s="204"/>
      <c r="O54" s="39" t="s">
        <v>252</v>
      </c>
      <c r="P54" s="40" t="s">
        <v>253</v>
      </c>
    </row>
    <row r="55" spans="1:16" s="18" customFormat="1" ht="166.5" thickTop="1" thickBot="1" x14ac:dyDescent="0.3">
      <c r="A55" s="3" t="s">
        <v>22</v>
      </c>
      <c r="B55" s="3" t="s">
        <v>76</v>
      </c>
      <c r="C55" s="67">
        <f>COUNTIF($B$10:B55,B55)</f>
        <v>2</v>
      </c>
      <c r="D55" s="3" t="str">
        <f t="shared" si="1"/>
        <v>SecAl_2</v>
      </c>
      <c r="E55" s="3" t="s">
        <v>283</v>
      </c>
      <c r="F55" s="5" t="s">
        <v>6</v>
      </c>
      <c r="G55" s="5" t="s">
        <v>26</v>
      </c>
      <c r="H55" s="74" t="s">
        <v>93</v>
      </c>
      <c r="I55" s="68" t="s">
        <v>152</v>
      </c>
      <c r="J55" s="26" t="s">
        <v>7</v>
      </c>
      <c r="K55" s="26" t="s">
        <v>177</v>
      </c>
      <c r="L55" s="34" t="s">
        <v>208</v>
      </c>
      <c r="M55" s="35" t="s">
        <v>210</v>
      </c>
      <c r="N55" s="36" t="s">
        <v>211</v>
      </c>
      <c r="O55" s="37" t="s">
        <v>212</v>
      </c>
      <c r="P55" s="38" t="s">
        <v>209</v>
      </c>
    </row>
    <row r="56" spans="1:16" s="18" customFormat="1" ht="99" customHeight="1" thickTop="1" x14ac:dyDescent="0.25">
      <c r="A56" s="3" t="s">
        <v>22</v>
      </c>
      <c r="B56" s="3" t="s">
        <v>76</v>
      </c>
      <c r="C56" s="67">
        <f>COUNTIF($B$10:B56,B56)</f>
        <v>3</v>
      </c>
      <c r="D56" s="3" t="str">
        <f t="shared" si="1"/>
        <v>SecAl_3</v>
      </c>
      <c r="E56" s="3" t="s">
        <v>284</v>
      </c>
      <c r="F56" s="4" t="s">
        <v>6</v>
      </c>
      <c r="G56" s="5" t="s">
        <v>25</v>
      </c>
      <c r="H56" s="11" t="s">
        <v>94</v>
      </c>
      <c r="I56" s="4" t="s">
        <v>153</v>
      </c>
      <c r="J56" s="26" t="s">
        <v>7</v>
      </c>
      <c r="K56" s="26" t="s">
        <v>177</v>
      </c>
      <c r="L56" s="116" t="s">
        <v>490</v>
      </c>
      <c r="M56" s="117"/>
      <c r="N56" s="118"/>
      <c r="O56" s="142" t="s">
        <v>491</v>
      </c>
      <c r="P56" s="125" t="s">
        <v>489</v>
      </c>
    </row>
    <row r="57" spans="1:16" s="18" customFormat="1" ht="65.099999999999994" customHeight="1" x14ac:dyDescent="0.25">
      <c r="A57" s="3" t="s">
        <v>22</v>
      </c>
      <c r="B57" s="3" t="s">
        <v>76</v>
      </c>
      <c r="C57" s="67">
        <f>COUNTIF($B$10:B57,B57)</f>
        <v>4</v>
      </c>
      <c r="D57" s="3" t="str">
        <f t="shared" si="1"/>
        <v>SecAl_4</v>
      </c>
      <c r="E57" s="3" t="s">
        <v>285</v>
      </c>
      <c r="F57" s="4" t="s">
        <v>6</v>
      </c>
      <c r="G57" s="5" t="s">
        <v>25</v>
      </c>
      <c r="H57" s="11" t="s">
        <v>95</v>
      </c>
      <c r="I57" s="4" t="s">
        <v>153</v>
      </c>
      <c r="J57" s="26" t="s">
        <v>7</v>
      </c>
      <c r="K57" s="26" t="s">
        <v>177</v>
      </c>
      <c r="L57" s="119"/>
      <c r="M57" s="120"/>
      <c r="N57" s="121"/>
      <c r="O57" s="143"/>
      <c r="P57" s="126"/>
    </row>
    <row r="58" spans="1:16" s="18" customFormat="1" ht="99.6" customHeight="1" thickBot="1" x14ac:dyDescent="0.3">
      <c r="A58" s="3" t="s">
        <v>22</v>
      </c>
      <c r="B58" s="3" t="s">
        <v>76</v>
      </c>
      <c r="C58" s="67">
        <f>COUNTIF($B$10:B58,B58)</f>
        <v>5</v>
      </c>
      <c r="D58" s="3" t="str">
        <f t="shared" si="1"/>
        <v>SecAl_5</v>
      </c>
      <c r="E58" s="3" t="s">
        <v>286</v>
      </c>
      <c r="F58" s="4" t="s">
        <v>6</v>
      </c>
      <c r="G58" s="5" t="s">
        <v>25</v>
      </c>
      <c r="H58" s="11" t="s">
        <v>96</v>
      </c>
      <c r="I58" s="4" t="s">
        <v>153</v>
      </c>
      <c r="J58" s="26" t="s">
        <v>7</v>
      </c>
      <c r="K58" s="26" t="s">
        <v>177</v>
      </c>
      <c r="L58" s="122"/>
      <c r="M58" s="123"/>
      <c r="N58" s="124"/>
      <c r="O58" s="144"/>
      <c r="P58" s="127"/>
    </row>
    <row r="59" spans="1:16" s="18" customFormat="1" ht="282" thickTop="1" thickBot="1" x14ac:dyDescent="0.3">
      <c r="A59" s="3" t="s">
        <v>22</v>
      </c>
      <c r="B59" s="3" t="s">
        <v>76</v>
      </c>
      <c r="C59" s="67">
        <f>COUNTIF($B$10:B59,B59)</f>
        <v>6</v>
      </c>
      <c r="D59" s="3" t="str">
        <f t="shared" si="1"/>
        <v>SecAl_6</v>
      </c>
      <c r="E59" s="3" t="s">
        <v>287</v>
      </c>
      <c r="F59" s="5" t="s">
        <v>6</v>
      </c>
      <c r="G59" s="5" t="s">
        <v>105</v>
      </c>
      <c r="H59" s="74" t="s">
        <v>392</v>
      </c>
      <c r="I59" s="68" t="s">
        <v>154</v>
      </c>
      <c r="J59" s="26" t="s">
        <v>7</v>
      </c>
      <c r="K59" s="26" t="s">
        <v>177</v>
      </c>
      <c r="L59" s="205" t="s">
        <v>221</v>
      </c>
      <c r="M59" s="206"/>
      <c r="N59" s="41" t="s">
        <v>230</v>
      </c>
      <c r="O59" s="42" t="s">
        <v>222</v>
      </c>
      <c r="P59" s="43" t="s">
        <v>223</v>
      </c>
    </row>
    <row r="60" spans="1:16" s="18" customFormat="1" ht="116.25" thickTop="1" x14ac:dyDescent="0.25">
      <c r="A60" s="3" t="s">
        <v>157</v>
      </c>
      <c r="B60" s="3" t="s">
        <v>158</v>
      </c>
      <c r="C60" s="67">
        <f>COUNTIF($B$10:B60,B60)</f>
        <v>1</v>
      </c>
      <c r="D60" s="3" t="str">
        <f t="shared" si="1"/>
        <v>SecAl_MSSC_1</v>
      </c>
      <c r="E60" s="3" t="s">
        <v>288</v>
      </c>
      <c r="F60" s="5" t="s">
        <v>6</v>
      </c>
      <c r="G60" s="5" t="s">
        <v>27</v>
      </c>
      <c r="H60" s="11" t="s">
        <v>28</v>
      </c>
      <c r="I60" s="4" t="s">
        <v>451</v>
      </c>
      <c r="J60" s="26" t="s">
        <v>7</v>
      </c>
      <c r="K60" s="26" t="s">
        <v>178</v>
      </c>
      <c r="L60" s="116" t="s">
        <v>214</v>
      </c>
      <c r="M60" s="118"/>
      <c r="N60" s="41" t="s">
        <v>213</v>
      </c>
      <c r="O60" s="42" t="s">
        <v>215</v>
      </c>
      <c r="P60" s="43" t="s">
        <v>216</v>
      </c>
    </row>
    <row r="61" spans="1:16" ht="165.75" x14ac:dyDescent="0.25">
      <c r="A61" s="3" t="s">
        <v>29</v>
      </c>
      <c r="B61" s="3" t="s">
        <v>77</v>
      </c>
      <c r="C61" s="67">
        <f>COUNTIF($B$10:B61,B61)</f>
        <v>1</v>
      </c>
      <c r="D61" s="3" t="str">
        <f t="shared" si="1"/>
        <v>WASH_1</v>
      </c>
      <c r="E61" s="3" t="s">
        <v>289</v>
      </c>
      <c r="F61" s="5" t="s">
        <v>6</v>
      </c>
      <c r="G61" s="69" t="s">
        <v>134</v>
      </c>
      <c r="H61" s="74" t="s">
        <v>122</v>
      </c>
      <c r="I61" s="73" t="s">
        <v>136</v>
      </c>
      <c r="J61" s="26" t="s">
        <v>7</v>
      </c>
      <c r="K61" s="26" t="s">
        <v>175</v>
      </c>
      <c r="L61" s="194" t="s">
        <v>492</v>
      </c>
      <c r="M61" s="111" t="s">
        <v>493</v>
      </c>
      <c r="N61" s="114" t="s">
        <v>494</v>
      </c>
      <c r="O61" s="198" t="s">
        <v>495</v>
      </c>
      <c r="P61" s="200" t="s">
        <v>496</v>
      </c>
    </row>
    <row r="62" spans="1:16" ht="165.75" x14ac:dyDescent="0.25">
      <c r="A62" s="3" t="s">
        <v>29</v>
      </c>
      <c r="B62" s="3" t="s">
        <v>77</v>
      </c>
      <c r="C62" s="67">
        <f>COUNTIF($B$10:B62,B62)</f>
        <v>2</v>
      </c>
      <c r="D62" s="3" t="str">
        <f t="shared" si="1"/>
        <v>WASH_2</v>
      </c>
      <c r="E62" s="3" t="s">
        <v>290</v>
      </c>
      <c r="F62" s="5" t="s">
        <v>6</v>
      </c>
      <c r="G62" s="69" t="s">
        <v>121</v>
      </c>
      <c r="H62" s="74" t="s">
        <v>135</v>
      </c>
      <c r="I62" s="73" t="s">
        <v>136</v>
      </c>
      <c r="J62" s="26" t="s">
        <v>7</v>
      </c>
      <c r="K62" s="26" t="s">
        <v>175</v>
      </c>
      <c r="L62" s="194"/>
      <c r="M62" s="111"/>
      <c r="N62" s="114"/>
      <c r="O62" s="198"/>
      <c r="P62" s="200"/>
    </row>
    <row r="63" spans="1:16" ht="89.25" x14ac:dyDescent="0.25">
      <c r="A63" s="3" t="s">
        <v>29</v>
      </c>
      <c r="B63" s="3" t="s">
        <v>77</v>
      </c>
      <c r="C63" s="67">
        <f>COUNTIF($B$10:B63,B63)</f>
        <v>3</v>
      </c>
      <c r="D63" s="3" t="str">
        <f t="shared" si="1"/>
        <v>WASH_3</v>
      </c>
      <c r="E63" s="3" t="s">
        <v>291</v>
      </c>
      <c r="F63" s="5" t="s">
        <v>6</v>
      </c>
      <c r="G63" s="68" t="s">
        <v>30</v>
      </c>
      <c r="H63" s="74" t="s">
        <v>31</v>
      </c>
      <c r="I63" s="68" t="s">
        <v>452</v>
      </c>
      <c r="J63" s="26" t="s">
        <v>7</v>
      </c>
      <c r="K63" s="26" t="s">
        <v>176</v>
      </c>
      <c r="L63" s="194"/>
      <c r="M63" s="111"/>
      <c r="N63" s="114"/>
      <c r="O63" s="198"/>
      <c r="P63" s="200"/>
    </row>
    <row r="64" spans="1:16" ht="51.75" thickBot="1" x14ac:dyDescent="0.3">
      <c r="A64" s="3" t="s">
        <v>29</v>
      </c>
      <c r="B64" s="3" t="s">
        <v>77</v>
      </c>
      <c r="C64" s="67">
        <f>COUNTIF($B$10:B64,B64)</f>
        <v>4</v>
      </c>
      <c r="D64" s="3" t="str">
        <f t="shared" si="1"/>
        <v>WASH_4</v>
      </c>
      <c r="E64" s="3" t="s">
        <v>292</v>
      </c>
      <c r="F64" s="4" t="s">
        <v>6</v>
      </c>
      <c r="G64" s="68" t="s">
        <v>32</v>
      </c>
      <c r="H64" s="74" t="s">
        <v>33</v>
      </c>
      <c r="I64" s="68" t="s">
        <v>123</v>
      </c>
      <c r="J64" s="26" t="s">
        <v>7</v>
      </c>
      <c r="K64" s="26" t="s">
        <v>176</v>
      </c>
      <c r="L64" s="195"/>
      <c r="M64" s="196"/>
      <c r="N64" s="197"/>
      <c r="O64" s="199"/>
      <c r="P64" s="201"/>
    </row>
    <row r="65" spans="1:17" s="76" customFormat="1" ht="51.75" thickTop="1" x14ac:dyDescent="0.25">
      <c r="A65" s="67" t="s">
        <v>29</v>
      </c>
      <c r="B65" s="67"/>
      <c r="C65" s="67"/>
      <c r="D65" s="67"/>
      <c r="E65" s="67" t="s">
        <v>393</v>
      </c>
      <c r="F65" s="68"/>
      <c r="G65" s="68" t="s">
        <v>395</v>
      </c>
      <c r="H65" s="74" t="s">
        <v>396</v>
      </c>
      <c r="I65" s="69" t="s">
        <v>397</v>
      </c>
      <c r="J65" s="79"/>
      <c r="K65" s="79" t="s">
        <v>176</v>
      </c>
      <c r="L65" s="166" t="s">
        <v>497</v>
      </c>
      <c r="M65" s="110" t="s">
        <v>499</v>
      </c>
      <c r="N65" s="113" t="s">
        <v>500</v>
      </c>
      <c r="O65" s="177" t="s">
        <v>501</v>
      </c>
      <c r="P65" s="179" t="s">
        <v>498</v>
      </c>
    </row>
    <row r="66" spans="1:17" s="76" customFormat="1" ht="51" x14ac:dyDescent="0.25">
      <c r="A66" s="67" t="s">
        <v>29</v>
      </c>
      <c r="B66" s="67"/>
      <c r="C66" s="67"/>
      <c r="D66" s="67"/>
      <c r="E66" s="67" t="s">
        <v>394</v>
      </c>
      <c r="F66" s="68"/>
      <c r="G66" s="68" t="s">
        <v>395</v>
      </c>
      <c r="H66" s="74" t="s">
        <v>398</v>
      </c>
      <c r="I66" s="68" t="s">
        <v>399</v>
      </c>
      <c r="J66" s="79"/>
      <c r="K66" s="79" t="s">
        <v>176</v>
      </c>
      <c r="L66" s="167"/>
      <c r="M66" s="112"/>
      <c r="N66" s="115"/>
      <c r="O66" s="178"/>
      <c r="P66" s="180"/>
    </row>
    <row r="67" spans="1:17" ht="192" thickBot="1" x14ac:dyDescent="0.3">
      <c r="A67" s="3" t="s">
        <v>29</v>
      </c>
      <c r="B67" s="3" t="s">
        <v>77</v>
      </c>
      <c r="C67" s="3">
        <f>COUNTIF($B$10:B67,B67)</f>
        <v>5</v>
      </c>
      <c r="D67" s="3" t="str">
        <f t="shared" si="1"/>
        <v>WASH_5</v>
      </c>
      <c r="E67" s="3" t="s">
        <v>293</v>
      </c>
      <c r="F67" s="4" t="s">
        <v>6</v>
      </c>
      <c r="G67" s="4" t="s">
        <v>34</v>
      </c>
      <c r="H67" s="11" t="s">
        <v>401</v>
      </c>
      <c r="I67" s="5" t="s">
        <v>453</v>
      </c>
      <c r="J67" s="26" t="s">
        <v>7</v>
      </c>
      <c r="K67" s="26" t="s">
        <v>176</v>
      </c>
      <c r="L67" s="174" t="s">
        <v>201</v>
      </c>
      <c r="M67" s="175"/>
      <c r="N67" s="175"/>
      <c r="O67" s="175"/>
      <c r="P67" s="176"/>
    </row>
    <row r="68" spans="1:17" ht="90.95" customHeight="1" thickTop="1" x14ac:dyDescent="0.25">
      <c r="A68" s="3" t="s">
        <v>29</v>
      </c>
      <c r="B68" s="3" t="s">
        <v>77</v>
      </c>
      <c r="C68" s="67">
        <f>COUNTIF($B$10:B68,B68)</f>
        <v>6</v>
      </c>
      <c r="D68" s="3" t="str">
        <f t="shared" si="1"/>
        <v>WASH_6</v>
      </c>
      <c r="E68" s="3" t="s">
        <v>294</v>
      </c>
      <c r="F68" s="5" t="s">
        <v>6</v>
      </c>
      <c r="G68" s="5" t="s">
        <v>35</v>
      </c>
      <c r="H68" s="11" t="s">
        <v>36</v>
      </c>
      <c r="I68" s="10" t="s">
        <v>37</v>
      </c>
      <c r="J68" s="26" t="s">
        <v>7</v>
      </c>
      <c r="K68" s="26" t="s">
        <v>176</v>
      </c>
      <c r="L68" s="166" t="s">
        <v>502</v>
      </c>
      <c r="M68" s="110" t="s">
        <v>503</v>
      </c>
      <c r="N68" s="113" t="s">
        <v>504</v>
      </c>
      <c r="O68" s="177" t="s">
        <v>505</v>
      </c>
      <c r="P68" s="179" t="s">
        <v>506</v>
      </c>
    </row>
    <row r="69" spans="1:17" s="13" customFormat="1" ht="51" x14ac:dyDescent="0.25">
      <c r="A69" s="3" t="s">
        <v>29</v>
      </c>
      <c r="B69" s="3" t="s">
        <v>77</v>
      </c>
      <c r="C69" s="67">
        <f>COUNTIF($B$10:B69,B69)</f>
        <v>7</v>
      </c>
      <c r="D69" s="3" t="str">
        <f t="shared" si="1"/>
        <v>WASH_7</v>
      </c>
      <c r="E69" s="3" t="s">
        <v>295</v>
      </c>
      <c r="F69" s="5" t="s">
        <v>6</v>
      </c>
      <c r="G69" s="5" t="s">
        <v>38</v>
      </c>
      <c r="H69" s="11" t="s">
        <v>368</v>
      </c>
      <c r="I69" s="5" t="s">
        <v>124</v>
      </c>
      <c r="J69" s="26" t="s">
        <v>7</v>
      </c>
      <c r="K69" s="26" t="s">
        <v>176</v>
      </c>
      <c r="L69" s="181"/>
      <c r="M69" s="111"/>
      <c r="N69" s="114"/>
      <c r="O69" s="198"/>
      <c r="P69" s="200"/>
      <c r="Q69" s="16"/>
    </row>
    <row r="70" spans="1:17" s="13" customFormat="1" ht="68.45" customHeight="1" x14ac:dyDescent="0.25">
      <c r="A70" s="3" t="s">
        <v>29</v>
      </c>
      <c r="B70" s="3" t="s">
        <v>77</v>
      </c>
      <c r="C70" s="67">
        <f>COUNTIF($B$10:B70,B70)</f>
        <v>8</v>
      </c>
      <c r="D70" s="3" t="str">
        <f t="shared" si="1"/>
        <v>WASH_8</v>
      </c>
      <c r="E70" s="3" t="s">
        <v>296</v>
      </c>
      <c r="F70" s="4" t="s">
        <v>6</v>
      </c>
      <c r="G70" s="5" t="s">
        <v>125</v>
      </c>
      <c r="H70" s="12" t="s">
        <v>366</v>
      </c>
      <c r="I70" s="10" t="s">
        <v>123</v>
      </c>
      <c r="J70" s="26" t="s">
        <v>7</v>
      </c>
      <c r="K70" s="26" t="s">
        <v>176</v>
      </c>
      <c r="L70" s="181"/>
      <c r="M70" s="111"/>
      <c r="N70" s="114"/>
      <c r="O70" s="198"/>
      <c r="P70" s="200"/>
      <c r="Q70" s="16"/>
    </row>
    <row r="71" spans="1:17" s="13" customFormat="1" ht="95.1" customHeight="1" x14ac:dyDescent="0.25">
      <c r="A71" s="3" t="s">
        <v>29</v>
      </c>
      <c r="B71" s="3" t="s">
        <v>77</v>
      </c>
      <c r="C71" s="67">
        <f>COUNTIF($B$10:B71,B71)</f>
        <v>9</v>
      </c>
      <c r="D71" s="3" t="str">
        <f t="shared" si="1"/>
        <v>WASH_9</v>
      </c>
      <c r="E71" s="3" t="s">
        <v>297</v>
      </c>
      <c r="F71" s="4" t="s">
        <v>6</v>
      </c>
      <c r="G71" s="5" t="s">
        <v>39</v>
      </c>
      <c r="H71" s="12" t="s">
        <v>367</v>
      </c>
      <c r="I71" s="10" t="s">
        <v>123</v>
      </c>
      <c r="J71" s="26" t="s">
        <v>7</v>
      </c>
      <c r="K71" s="26" t="s">
        <v>176</v>
      </c>
      <c r="L71" s="167"/>
      <c r="M71" s="112"/>
      <c r="N71" s="115"/>
      <c r="O71" s="178"/>
      <c r="P71" s="180"/>
    </row>
    <row r="72" spans="1:17" s="13" customFormat="1" ht="78" customHeight="1" x14ac:dyDescent="0.25">
      <c r="A72" s="3" t="s">
        <v>29</v>
      </c>
      <c r="B72" s="3" t="s">
        <v>77</v>
      </c>
      <c r="C72" s="67">
        <f>COUNTIF($B$10:B72,B72)</f>
        <v>10</v>
      </c>
      <c r="D72" s="3" t="str">
        <f t="shared" si="1"/>
        <v>WASH_10</v>
      </c>
      <c r="E72" s="3" t="s">
        <v>298</v>
      </c>
      <c r="F72" s="4" t="s">
        <v>6</v>
      </c>
      <c r="G72" s="4" t="s">
        <v>128</v>
      </c>
      <c r="H72" s="11" t="s">
        <v>127</v>
      </c>
      <c r="I72" s="5" t="s">
        <v>129</v>
      </c>
      <c r="J72" s="26" t="s">
        <v>7</v>
      </c>
      <c r="K72" s="26" t="s">
        <v>176</v>
      </c>
      <c r="L72" s="171" t="s">
        <v>201</v>
      </c>
      <c r="M72" s="172"/>
      <c r="N72" s="172"/>
      <c r="O72" s="172"/>
      <c r="P72" s="173"/>
    </row>
    <row r="73" spans="1:17" ht="153.75" thickBot="1" x14ac:dyDescent="0.3">
      <c r="A73" s="3" t="s">
        <v>29</v>
      </c>
      <c r="B73" s="3" t="s">
        <v>77</v>
      </c>
      <c r="C73" s="67">
        <f>COUNTIF($B$10:B73,B73)</f>
        <v>11</v>
      </c>
      <c r="D73" s="3" t="str">
        <f t="shared" si="1"/>
        <v>WASH_11</v>
      </c>
      <c r="E73" s="3" t="s">
        <v>299</v>
      </c>
      <c r="F73" s="4" t="s">
        <v>6</v>
      </c>
      <c r="G73" s="4" t="s">
        <v>126</v>
      </c>
      <c r="H73" s="11" t="s">
        <v>344</v>
      </c>
      <c r="I73" s="10" t="s">
        <v>343</v>
      </c>
      <c r="J73" s="26" t="s">
        <v>7</v>
      </c>
      <c r="K73" s="26" t="s">
        <v>176</v>
      </c>
      <c r="L73" s="174"/>
      <c r="M73" s="175"/>
      <c r="N73" s="175"/>
      <c r="O73" s="175"/>
      <c r="P73" s="176"/>
      <c r="Q73" s="13"/>
    </row>
    <row r="74" spans="1:17" ht="102.75" thickTop="1" x14ac:dyDescent="0.25">
      <c r="A74" s="3" t="s">
        <v>29</v>
      </c>
      <c r="B74" s="3" t="s">
        <v>77</v>
      </c>
      <c r="C74" s="67">
        <f>COUNTIF($B$10:B74,B74)</f>
        <v>12</v>
      </c>
      <c r="D74" s="3" t="str">
        <f t="shared" si="1"/>
        <v>WASH_12</v>
      </c>
      <c r="E74" s="3" t="s">
        <v>300</v>
      </c>
      <c r="F74" s="5" t="s">
        <v>6</v>
      </c>
      <c r="G74" s="5" t="s">
        <v>131</v>
      </c>
      <c r="H74" s="11" t="s">
        <v>132</v>
      </c>
      <c r="I74" s="4" t="s">
        <v>155</v>
      </c>
      <c r="J74" s="26" t="s">
        <v>7</v>
      </c>
      <c r="K74" s="26" t="s">
        <v>176</v>
      </c>
      <c r="L74" s="116" t="s">
        <v>507</v>
      </c>
      <c r="M74" s="118"/>
      <c r="N74" s="150" t="s">
        <v>508</v>
      </c>
      <c r="O74" s="142" t="s">
        <v>509</v>
      </c>
      <c r="P74" s="125" t="s">
        <v>510</v>
      </c>
    </row>
    <row r="75" spans="1:17" ht="51.75" thickBot="1" x14ac:dyDescent="0.3">
      <c r="A75" s="3" t="s">
        <v>29</v>
      </c>
      <c r="B75" s="3" t="s">
        <v>77</v>
      </c>
      <c r="C75" s="67">
        <f>COUNTIF($B$10:B75,B75)</f>
        <v>13</v>
      </c>
      <c r="D75" s="3" t="str">
        <f t="shared" si="1"/>
        <v>WASH_13</v>
      </c>
      <c r="E75" s="3" t="s">
        <v>301</v>
      </c>
      <c r="F75" s="5" t="s">
        <v>6</v>
      </c>
      <c r="G75" s="5" t="s">
        <v>130</v>
      </c>
      <c r="H75" s="11" t="s">
        <v>133</v>
      </c>
      <c r="I75" s="5" t="s">
        <v>156</v>
      </c>
      <c r="J75" s="26" t="s">
        <v>7</v>
      </c>
      <c r="K75" s="26" t="s">
        <v>176</v>
      </c>
      <c r="L75" s="122"/>
      <c r="M75" s="124"/>
      <c r="N75" s="151"/>
      <c r="O75" s="144"/>
      <c r="P75" s="127"/>
    </row>
    <row r="76" spans="1:17" ht="104.1" customHeight="1" thickTop="1" thickBot="1" x14ac:dyDescent="0.3">
      <c r="A76" s="3" t="s">
        <v>29</v>
      </c>
      <c r="B76" s="3" t="s">
        <v>77</v>
      </c>
      <c r="C76" s="67">
        <f>COUNTIF($B$10:B76,B76)</f>
        <v>14</v>
      </c>
      <c r="D76" s="3" t="str">
        <f t="shared" si="1"/>
        <v>WASH_14</v>
      </c>
      <c r="E76" s="3" t="s">
        <v>302</v>
      </c>
      <c r="F76" s="5" t="s">
        <v>6</v>
      </c>
      <c r="G76" s="5" t="s">
        <v>40</v>
      </c>
      <c r="H76" s="11" t="s">
        <v>41</v>
      </c>
      <c r="I76" s="5" t="s">
        <v>42</v>
      </c>
      <c r="J76" s="26" t="s">
        <v>7</v>
      </c>
      <c r="K76" s="26" t="s">
        <v>176</v>
      </c>
      <c r="L76" s="44" t="s">
        <v>511</v>
      </c>
      <c r="M76" s="45" t="s">
        <v>515</v>
      </c>
      <c r="N76" s="46" t="s">
        <v>512</v>
      </c>
      <c r="O76" s="47" t="s">
        <v>513</v>
      </c>
      <c r="P76" s="48" t="s">
        <v>514</v>
      </c>
    </row>
    <row r="77" spans="1:17" ht="92.1" customHeight="1" thickTop="1" thickBot="1" x14ac:dyDescent="0.3">
      <c r="A77" s="3" t="s">
        <v>29</v>
      </c>
      <c r="B77" s="3" t="s">
        <v>77</v>
      </c>
      <c r="C77" s="67">
        <f>COUNTIF($B$10:B77,B77)</f>
        <v>15</v>
      </c>
      <c r="D77" s="3" t="str">
        <f t="shared" si="1"/>
        <v>WASH_15</v>
      </c>
      <c r="E77" s="3" t="s">
        <v>303</v>
      </c>
      <c r="F77" s="4" t="s">
        <v>6</v>
      </c>
      <c r="G77" s="4" t="s">
        <v>43</v>
      </c>
      <c r="H77" s="11" t="s">
        <v>44</v>
      </c>
      <c r="I77" s="5" t="s">
        <v>45</v>
      </c>
      <c r="J77" s="26" t="s">
        <v>7</v>
      </c>
      <c r="K77" s="26" t="s">
        <v>176</v>
      </c>
      <c r="L77" s="171" t="s">
        <v>201</v>
      </c>
      <c r="M77" s="172"/>
      <c r="N77" s="172"/>
      <c r="O77" s="172"/>
      <c r="P77" s="173"/>
    </row>
    <row r="78" spans="1:17" ht="200.45" customHeight="1" thickTop="1" thickBot="1" x14ac:dyDescent="0.3">
      <c r="A78" s="3" t="s">
        <v>46</v>
      </c>
      <c r="B78" s="3" t="s">
        <v>78</v>
      </c>
      <c r="C78" s="67">
        <f>COUNTIF($B$10:B78,B78)</f>
        <v>6</v>
      </c>
      <c r="D78" s="3" t="str">
        <f t="shared" ref="D78:D92" si="2">CONCATENATE(B78,"_",C78)</f>
        <v>Sante_6</v>
      </c>
      <c r="E78" s="3" t="s">
        <v>310</v>
      </c>
      <c r="F78" s="5" t="s">
        <v>6</v>
      </c>
      <c r="G78" s="5" t="s">
        <v>113</v>
      </c>
      <c r="H78" s="11" t="s">
        <v>348</v>
      </c>
      <c r="I78" s="5" t="s">
        <v>114</v>
      </c>
      <c r="J78" s="26" t="s">
        <v>7</v>
      </c>
      <c r="K78" s="26" t="s">
        <v>170</v>
      </c>
      <c r="L78" s="34" t="s">
        <v>205</v>
      </c>
      <c r="M78" s="140" t="s">
        <v>231</v>
      </c>
      <c r="N78" s="224"/>
      <c r="O78" s="224"/>
      <c r="P78" s="141"/>
    </row>
    <row r="79" spans="1:17" ht="243.75" thickTop="1" thickBot="1" x14ac:dyDescent="0.3">
      <c r="A79" s="3" t="s">
        <v>92</v>
      </c>
      <c r="B79" s="3" t="s">
        <v>81</v>
      </c>
      <c r="C79" s="67">
        <f>COUNTIF($B$10:B79,B79)</f>
        <v>3</v>
      </c>
      <c r="D79" s="3" t="str">
        <f t="shared" si="2"/>
        <v>Protec_3</v>
      </c>
      <c r="E79" s="3" t="s">
        <v>319</v>
      </c>
      <c r="F79" s="5" t="s">
        <v>6</v>
      </c>
      <c r="G79" s="5" t="s">
        <v>58</v>
      </c>
      <c r="H79" s="11" t="s">
        <v>402</v>
      </c>
      <c r="I79" s="4" t="s">
        <v>438</v>
      </c>
      <c r="J79" s="26" t="s">
        <v>7</v>
      </c>
      <c r="K79" s="26" t="s">
        <v>174</v>
      </c>
      <c r="L79" s="147" t="s">
        <v>517</v>
      </c>
      <c r="M79" s="148"/>
      <c r="N79" s="149"/>
      <c r="O79" s="185" t="s">
        <v>518</v>
      </c>
      <c r="P79" s="186"/>
    </row>
    <row r="80" spans="1:17" ht="218.1" customHeight="1" thickTop="1" thickBot="1" x14ac:dyDescent="0.3">
      <c r="A80" s="3" t="s">
        <v>92</v>
      </c>
      <c r="B80" s="3" t="s">
        <v>81</v>
      </c>
      <c r="C80" s="67">
        <f>COUNTIF($B$10:B80,B80)</f>
        <v>4</v>
      </c>
      <c r="D80" s="3" t="str">
        <f t="shared" si="2"/>
        <v>Protec_4</v>
      </c>
      <c r="E80" s="3" t="s">
        <v>320</v>
      </c>
      <c r="F80" s="5" t="s">
        <v>6</v>
      </c>
      <c r="G80" s="5" t="s">
        <v>149</v>
      </c>
      <c r="H80" s="11" t="s">
        <v>349</v>
      </c>
      <c r="I80" s="68" t="s">
        <v>438</v>
      </c>
      <c r="J80" s="26" t="s">
        <v>7</v>
      </c>
      <c r="K80" s="26" t="s">
        <v>174</v>
      </c>
      <c r="L80" s="147" t="s">
        <v>519</v>
      </c>
      <c r="M80" s="148"/>
      <c r="N80" s="149"/>
      <c r="O80" s="185" t="s">
        <v>520</v>
      </c>
      <c r="P80" s="186"/>
    </row>
    <row r="81" spans="1:1024" ht="60" customHeight="1" thickTop="1" x14ac:dyDescent="0.25">
      <c r="A81" s="3" t="s">
        <v>92</v>
      </c>
      <c r="B81" s="22" t="s">
        <v>81</v>
      </c>
      <c r="C81" s="67">
        <f>COUNTIF($B$10:B81,B81)</f>
        <v>5</v>
      </c>
      <c r="D81" s="3" t="str">
        <f t="shared" si="2"/>
        <v>Protec_5</v>
      </c>
      <c r="E81" s="3" t="s">
        <v>321</v>
      </c>
      <c r="F81" s="23" t="s">
        <v>6</v>
      </c>
      <c r="G81" s="23" t="s">
        <v>68</v>
      </c>
      <c r="H81" s="6" t="s">
        <v>350</v>
      </c>
      <c r="I81" s="4" t="s">
        <v>65</v>
      </c>
      <c r="J81" s="26" t="s">
        <v>7</v>
      </c>
      <c r="K81" s="26" t="s">
        <v>174</v>
      </c>
      <c r="L81" s="116" t="s">
        <v>224</v>
      </c>
      <c r="M81" s="117"/>
      <c r="N81" s="118"/>
      <c r="O81" s="185" t="s">
        <v>521</v>
      </c>
      <c r="P81" s="186"/>
    </row>
    <row r="82" spans="1:1024" ht="294" thickBot="1" x14ac:dyDescent="0.3">
      <c r="A82" s="3" t="s">
        <v>92</v>
      </c>
      <c r="B82" s="22" t="s">
        <v>81</v>
      </c>
      <c r="C82" s="67">
        <f>COUNTIF($B$10:B82,B82)</f>
        <v>6</v>
      </c>
      <c r="D82" s="3" t="str">
        <f t="shared" si="2"/>
        <v>Protec_6</v>
      </c>
      <c r="E82" s="3" t="s">
        <v>322</v>
      </c>
      <c r="F82" s="23" t="s">
        <v>6</v>
      </c>
      <c r="G82" s="23" t="s">
        <v>69</v>
      </c>
      <c r="H82" s="11" t="s">
        <v>66</v>
      </c>
      <c r="I82" s="4" t="s">
        <v>67</v>
      </c>
      <c r="J82" s="26" t="s">
        <v>7</v>
      </c>
      <c r="K82" s="26" t="s">
        <v>174</v>
      </c>
      <c r="L82" s="122"/>
      <c r="M82" s="123"/>
      <c r="N82" s="124"/>
      <c r="O82" s="220"/>
      <c r="P82" s="221"/>
    </row>
    <row r="83" spans="1:1024" ht="150" thickTop="1" thickBot="1" x14ac:dyDescent="0.3">
      <c r="A83" s="3" t="s">
        <v>92</v>
      </c>
      <c r="B83" s="3" t="s">
        <v>81</v>
      </c>
      <c r="C83" s="67">
        <f>COUNTIF($B$10:B83,B83)</f>
        <v>7</v>
      </c>
      <c r="D83" s="3" t="str">
        <f t="shared" si="2"/>
        <v>Protec_7</v>
      </c>
      <c r="E83" s="3" t="s">
        <v>323</v>
      </c>
      <c r="F83" s="5" t="s">
        <v>6</v>
      </c>
      <c r="G83" s="5" t="s">
        <v>59</v>
      </c>
      <c r="H83" s="11" t="s">
        <v>354</v>
      </c>
      <c r="I83" s="4" t="s">
        <v>351</v>
      </c>
      <c r="J83" s="26" t="s">
        <v>7</v>
      </c>
      <c r="K83" s="26" t="s">
        <v>174</v>
      </c>
      <c r="L83" s="147" t="s">
        <v>225</v>
      </c>
      <c r="M83" s="149"/>
      <c r="N83" s="36" t="s">
        <v>226</v>
      </c>
      <c r="O83" s="37" t="s">
        <v>227</v>
      </c>
      <c r="P83" s="38" t="s">
        <v>228</v>
      </c>
    </row>
    <row r="84" spans="1:1024" ht="150" thickTop="1" thickBot="1" x14ac:dyDescent="0.3">
      <c r="A84" s="67" t="s">
        <v>92</v>
      </c>
      <c r="B84" s="62" t="s">
        <v>92</v>
      </c>
      <c r="C84" s="67">
        <f>COUNTIF($B$10:B84,B84)</f>
        <v>1</v>
      </c>
      <c r="D84" s="62" t="e">
        <v>#VALUE!</v>
      </c>
      <c r="E84" s="62">
        <v>11</v>
      </c>
      <c r="F84" s="61"/>
      <c r="G84" s="66" t="s">
        <v>374</v>
      </c>
      <c r="H84" s="64" t="s">
        <v>403</v>
      </c>
      <c r="I84" s="63" t="s">
        <v>123</v>
      </c>
      <c r="J84" s="65" t="s">
        <v>7</v>
      </c>
      <c r="K84" s="61"/>
      <c r="L84" s="168"/>
      <c r="M84" s="169"/>
      <c r="N84" s="169"/>
      <c r="O84" s="170"/>
      <c r="P84" s="86" t="s">
        <v>522</v>
      </c>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1"/>
      <c r="DV84" s="61"/>
      <c r="DW84" s="61"/>
      <c r="DX84" s="61"/>
      <c r="DY84" s="61"/>
      <c r="DZ84" s="61"/>
      <c r="EA84" s="61"/>
      <c r="EB84" s="61"/>
      <c r="EC84" s="61"/>
      <c r="ED84" s="61"/>
      <c r="EE84" s="61"/>
      <c r="EF84" s="61"/>
      <c r="EG84" s="61"/>
      <c r="EH84" s="61"/>
      <c r="EI84" s="61"/>
      <c r="EJ84" s="61"/>
      <c r="EK84" s="61"/>
      <c r="EL84" s="61"/>
      <c r="EM84" s="61"/>
      <c r="EN84" s="61"/>
      <c r="EO84" s="61"/>
      <c r="EP84" s="61"/>
      <c r="EQ84" s="61"/>
      <c r="ER84" s="61"/>
      <c r="ES84" s="61"/>
      <c r="ET84" s="61"/>
      <c r="EU84" s="61"/>
      <c r="EV84" s="61"/>
      <c r="EW84" s="61"/>
      <c r="EX84" s="61"/>
      <c r="EY84" s="61"/>
      <c r="EZ84" s="61"/>
      <c r="FA84" s="61"/>
      <c r="FB84" s="61"/>
      <c r="FC84" s="61"/>
      <c r="FD84" s="61"/>
      <c r="FE84" s="61"/>
      <c r="FF84" s="61"/>
      <c r="FG84" s="61"/>
      <c r="FH84" s="61"/>
      <c r="FI84" s="61"/>
      <c r="FJ84" s="61"/>
      <c r="FK84" s="61"/>
      <c r="FL84" s="61"/>
      <c r="FM84" s="61"/>
      <c r="FN84" s="61"/>
      <c r="FO84" s="61"/>
      <c r="FP84" s="61"/>
      <c r="FQ84" s="61"/>
      <c r="FR84" s="61"/>
      <c r="FS84" s="61"/>
      <c r="FT84" s="61"/>
      <c r="FU84" s="61"/>
      <c r="FV84" s="61"/>
      <c r="FW84" s="61"/>
      <c r="FX84" s="61"/>
      <c r="FY84" s="61"/>
      <c r="FZ84" s="61"/>
      <c r="GA84" s="61"/>
      <c r="GB84" s="61"/>
      <c r="GC84" s="61"/>
      <c r="GD84" s="61"/>
      <c r="GE84" s="61"/>
      <c r="GF84" s="61"/>
      <c r="GG84" s="61"/>
      <c r="GH84" s="61"/>
      <c r="GI84" s="61"/>
      <c r="GJ84" s="61"/>
      <c r="GK84" s="61"/>
      <c r="GL84" s="61"/>
      <c r="GM84" s="61"/>
      <c r="GN84" s="61"/>
      <c r="GO84" s="61"/>
      <c r="GP84" s="61"/>
      <c r="GQ84" s="61"/>
      <c r="GR84" s="61"/>
      <c r="GS84" s="61"/>
      <c r="GT84" s="61"/>
      <c r="GU84" s="61"/>
      <c r="GV84" s="61"/>
      <c r="GW84" s="61"/>
      <c r="GX84" s="61"/>
      <c r="GY84" s="61"/>
      <c r="GZ84" s="61"/>
      <c r="HA84" s="61"/>
      <c r="HB84" s="61"/>
      <c r="HC84" s="61"/>
      <c r="HD84" s="61"/>
      <c r="HE84" s="61"/>
      <c r="HF84" s="61"/>
      <c r="HG84" s="61"/>
      <c r="HH84" s="61"/>
      <c r="HI84" s="61"/>
      <c r="HJ84" s="61"/>
      <c r="HK84" s="61"/>
      <c r="HL84" s="61"/>
      <c r="HM84" s="61"/>
      <c r="HN84" s="61"/>
      <c r="HO84" s="61"/>
      <c r="HP84" s="61"/>
      <c r="HQ84" s="61"/>
      <c r="HR84" s="61"/>
      <c r="HS84" s="61"/>
      <c r="HT84" s="61"/>
      <c r="HU84" s="61"/>
      <c r="HV84" s="61"/>
      <c r="HW84" s="61"/>
      <c r="HX84" s="61"/>
      <c r="HY84" s="61"/>
      <c r="HZ84" s="61"/>
      <c r="IA84" s="61"/>
      <c r="IB84" s="61"/>
      <c r="IC84" s="61"/>
      <c r="ID84" s="61"/>
      <c r="IE84" s="61"/>
      <c r="IF84" s="61"/>
      <c r="IG84" s="61"/>
      <c r="IH84" s="61"/>
      <c r="II84" s="61"/>
      <c r="IJ84" s="61"/>
      <c r="IK84" s="61"/>
      <c r="IL84" s="61"/>
      <c r="IM84" s="61"/>
      <c r="IN84" s="61"/>
      <c r="IO84" s="61"/>
      <c r="IP84" s="61"/>
      <c r="IQ84" s="61"/>
      <c r="IR84" s="61"/>
      <c r="IS84" s="61"/>
      <c r="IT84" s="61"/>
      <c r="IU84" s="61"/>
      <c r="IV84" s="61"/>
      <c r="IW84" s="61"/>
      <c r="IX84" s="61"/>
      <c r="IY84" s="61"/>
      <c r="IZ84" s="61"/>
      <c r="JA84" s="61"/>
      <c r="JB84" s="61"/>
      <c r="JC84" s="61"/>
      <c r="JD84" s="61"/>
      <c r="JE84" s="61"/>
      <c r="JF84" s="61"/>
      <c r="JG84" s="61"/>
      <c r="JH84" s="61"/>
      <c r="JI84" s="61"/>
      <c r="JJ84" s="61"/>
      <c r="JK84" s="61"/>
      <c r="JL84" s="61"/>
      <c r="JM84" s="61"/>
      <c r="JN84" s="61"/>
      <c r="JO84" s="61"/>
      <c r="JP84" s="61"/>
      <c r="JQ84" s="61"/>
      <c r="JR84" s="61"/>
      <c r="JS84" s="61"/>
      <c r="JT84" s="61"/>
      <c r="JU84" s="61"/>
      <c r="JV84" s="61"/>
      <c r="JW84" s="61"/>
      <c r="JX84" s="61"/>
      <c r="JY84" s="61"/>
      <c r="JZ84" s="61"/>
      <c r="KA84" s="61"/>
      <c r="KB84" s="61"/>
      <c r="KC84" s="61"/>
      <c r="KD84" s="61"/>
      <c r="KE84" s="61"/>
      <c r="KF84" s="61"/>
      <c r="KG84" s="61"/>
      <c r="KH84" s="61"/>
      <c r="KI84" s="61"/>
      <c r="KJ84" s="61"/>
      <c r="KK84" s="61"/>
      <c r="KL84" s="61"/>
      <c r="KM84" s="61"/>
      <c r="KN84" s="61"/>
      <c r="KO84" s="61"/>
      <c r="KP84" s="61"/>
      <c r="KQ84" s="61"/>
      <c r="KR84" s="61"/>
      <c r="KS84" s="61"/>
      <c r="KT84" s="61"/>
      <c r="KU84" s="61"/>
      <c r="KV84" s="61"/>
      <c r="KW84" s="61"/>
      <c r="KX84" s="61"/>
      <c r="KY84" s="61"/>
      <c r="KZ84" s="61"/>
      <c r="LA84" s="61"/>
      <c r="LB84" s="61"/>
      <c r="LC84" s="61"/>
      <c r="LD84" s="61"/>
      <c r="LE84" s="61"/>
      <c r="LF84" s="61"/>
      <c r="LG84" s="61"/>
      <c r="LH84" s="61"/>
      <c r="LI84" s="61"/>
      <c r="LJ84" s="61"/>
      <c r="LK84" s="61"/>
      <c r="LL84" s="61"/>
      <c r="LM84" s="61"/>
      <c r="LN84" s="61"/>
      <c r="LO84" s="61"/>
      <c r="LP84" s="61"/>
      <c r="LQ84" s="61"/>
      <c r="LR84" s="61"/>
      <c r="LS84" s="61"/>
      <c r="LT84" s="61"/>
      <c r="LU84" s="61"/>
      <c r="LV84" s="61"/>
      <c r="LW84" s="61"/>
      <c r="LX84" s="61"/>
      <c r="LY84" s="61"/>
      <c r="LZ84" s="61"/>
      <c r="MA84" s="61"/>
      <c r="MB84" s="61"/>
      <c r="MC84" s="61"/>
      <c r="MD84" s="61"/>
      <c r="ME84" s="61"/>
      <c r="MF84" s="61"/>
      <c r="MG84" s="61"/>
      <c r="MH84" s="61"/>
      <c r="MI84" s="61"/>
      <c r="MJ84" s="61"/>
      <c r="MK84" s="61"/>
      <c r="ML84" s="61"/>
      <c r="MM84" s="61"/>
      <c r="MN84" s="61"/>
      <c r="MO84" s="61"/>
      <c r="MP84" s="61"/>
      <c r="MQ84" s="61"/>
      <c r="MR84" s="61"/>
      <c r="MS84" s="61"/>
      <c r="MT84" s="61"/>
      <c r="MU84" s="61"/>
      <c r="MV84" s="61"/>
      <c r="MW84" s="61"/>
      <c r="MX84" s="61"/>
      <c r="MY84" s="61"/>
      <c r="MZ84" s="61"/>
      <c r="NA84" s="61"/>
      <c r="NB84" s="61"/>
      <c r="NC84" s="61"/>
      <c r="ND84" s="61"/>
      <c r="NE84" s="61"/>
      <c r="NF84" s="61"/>
      <c r="NG84" s="61"/>
      <c r="NH84" s="61"/>
      <c r="NI84" s="61"/>
      <c r="NJ84" s="61"/>
      <c r="NK84" s="61"/>
      <c r="NL84" s="61"/>
      <c r="NM84" s="61"/>
      <c r="NN84" s="61"/>
      <c r="NO84" s="61"/>
      <c r="NP84" s="61"/>
      <c r="NQ84" s="61"/>
      <c r="NR84" s="61"/>
      <c r="NS84" s="61"/>
      <c r="NT84" s="61"/>
      <c r="NU84" s="61"/>
      <c r="NV84" s="61"/>
      <c r="NW84" s="61"/>
      <c r="NX84" s="61"/>
      <c r="NY84" s="61"/>
      <c r="NZ84" s="61"/>
      <c r="OA84" s="61"/>
      <c r="OB84" s="61"/>
      <c r="OC84" s="61"/>
      <c r="OD84" s="61"/>
      <c r="OE84" s="61"/>
      <c r="OF84" s="61"/>
      <c r="OG84" s="61"/>
      <c r="OH84" s="61"/>
      <c r="OI84" s="61"/>
      <c r="OJ84" s="61"/>
      <c r="OK84" s="61"/>
      <c r="OL84" s="61"/>
      <c r="OM84" s="61"/>
      <c r="ON84" s="61"/>
      <c r="OO84" s="61"/>
      <c r="OP84" s="61"/>
      <c r="OQ84" s="61"/>
      <c r="OR84" s="61"/>
      <c r="OS84" s="61"/>
      <c r="OT84" s="61"/>
      <c r="OU84" s="61"/>
      <c r="OV84" s="61"/>
      <c r="OW84" s="61"/>
      <c r="OX84" s="61"/>
      <c r="OY84" s="61"/>
      <c r="OZ84" s="61"/>
      <c r="PA84" s="61"/>
      <c r="PB84" s="61"/>
      <c r="PC84" s="61"/>
      <c r="PD84" s="61"/>
      <c r="PE84" s="61"/>
      <c r="PF84" s="61"/>
      <c r="PG84" s="61"/>
      <c r="PH84" s="61"/>
      <c r="PI84" s="61"/>
      <c r="PJ84" s="61"/>
      <c r="PK84" s="61"/>
      <c r="PL84" s="61"/>
      <c r="PM84" s="61"/>
      <c r="PN84" s="61"/>
      <c r="PO84" s="61"/>
      <c r="PP84" s="61"/>
      <c r="PQ84" s="61"/>
      <c r="PR84" s="61"/>
      <c r="PS84" s="61"/>
      <c r="PT84" s="61"/>
      <c r="PU84" s="61"/>
      <c r="PV84" s="61"/>
      <c r="PW84" s="61"/>
      <c r="PX84" s="61"/>
      <c r="PY84" s="61"/>
      <c r="PZ84" s="61"/>
      <c r="QA84" s="61"/>
      <c r="QB84" s="61"/>
      <c r="QC84" s="61"/>
      <c r="QD84" s="61"/>
      <c r="QE84" s="61"/>
      <c r="QF84" s="61"/>
      <c r="QG84" s="61"/>
      <c r="QH84" s="61"/>
      <c r="QI84" s="61"/>
      <c r="QJ84" s="61"/>
      <c r="QK84" s="61"/>
      <c r="QL84" s="61"/>
      <c r="QM84" s="61"/>
      <c r="QN84" s="61"/>
      <c r="QO84" s="61"/>
      <c r="QP84" s="61"/>
      <c r="QQ84" s="61"/>
      <c r="QR84" s="61"/>
      <c r="QS84" s="61"/>
      <c r="QT84" s="61"/>
      <c r="QU84" s="61"/>
      <c r="QV84" s="61"/>
      <c r="QW84" s="61"/>
      <c r="QX84" s="61"/>
      <c r="QY84" s="61"/>
      <c r="QZ84" s="61"/>
      <c r="RA84" s="61"/>
      <c r="RB84" s="61"/>
      <c r="RC84" s="61"/>
      <c r="RD84" s="61"/>
      <c r="RE84" s="61"/>
      <c r="RF84" s="61"/>
      <c r="RG84" s="61"/>
      <c r="RH84" s="61"/>
      <c r="RI84" s="61"/>
      <c r="RJ84" s="61"/>
      <c r="RK84" s="61"/>
      <c r="RL84" s="61"/>
      <c r="RM84" s="61"/>
      <c r="RN84" s="61"/>
      <c r="RO84" s="61"/>
      <c r="RP84" s="61"/>
      <c r="RQ84" s="61"/>
      <c r="RR84" s="61"/>
      <c r="RS84" s="61"/>
      <c r="RT84" s="61"/>
      <c r="RU84" s="61"/>
      <c r="RV84" s="61"/>
      <c r="RW84" s="61"/>
      <c r="RX84" s="61"/>
      <c r="RY84" s="61"/>
      <c r="RZ84" s="61"/>
      <c r="SA84" s="61"/>
      <c r="SB84" s="61"/>
      <c r="SC84" s="61"/>
      <c r="SD84" s="61"/>
      <c r="SE84" s="61"/>
      <c r="SF84" s="61"/>
      <c r="SG84" s="61"/>
      <c r="SH84" s="61"/>
      <c r="SI84" s="61"/>
      <c r="SJ84" s="61"/>
      <c r="SK84" s="61"/>
      <c r="SL84" s="61"/>
      <c r="SM84" s="61"/>
      <c r="SN84" s="61"/>
      <c r="SO84" s="61"/>
      <c r="SP84" s="61"/>
      <c r="SQ84" s="61"/>
      <c r="SR84" s="61"/>
      <c r="SS84" s="61"/>
      <c r="ST84" s="61"/>
      <c r="SU84" s="61"/>
      <c r="SV84" s="61"/>
      <c r="SW84" s="61"/>
      <c r="SX84" s="61"/>
      <c r="SY84" s="61"/>
      <c r="SZ84" s="61"/>
      <c r="TA84" s="61"/>
      <c r="TB84" s="61"/>
      <c r="TC84" s="61"/>
      <c r="TD84" s="61"/>
      <c r="TE84" s="61"/>
      <c r="TF84" s="61"/>
      <c r="TG84" s="61"/>
      <c r="TH84" s="61"/>
      <c r="TI84" s="61"/>
      <c r="TJ84" s="61"/>
      <c r="TK84" s="61"/>
      <c r="TL84" s="61"/>
      <c r="TM84" s="61"/>
      <c r="TN84" s="61"/>
      <c r="TO84" s="61"/>
      <c r="TP84" s="61"/>
      <c r="TQ84" s="61"/>
      <c r="TR84" s="61"/>
      <c r="TS84" s="61"/>
      <c r="TT84" s="61"/>
      <c r="TU84" s="61"/>
      <c r="TV84" s="61"/>
      <c r="TW84" s="61"/>
      <c r="TX84" s="61"/>
      <c r="TY84" s="61"/>
      <c r="TZ84" s="61"/>
      <c r="UA84" s="61"/>
      <c r="UB84" s="61"/>
      <c r="UC84" s="61"/>
      <c r="UD84" s="61"/>
      <c r="UE84" s="61"/>
      <c r="UF84" s="61"/>
      <c r="UG84" s="61"/>
      <c r="UH84" s="61"/>
      <c r="UI84" s="61"/>
      <c r="UJ84" s="61"/>
      <c r="UK84" s="61"/>
      <c r="UL84" s="61"/>
      <c r="UM84" s="61"/>
      <c r="UN84" s="61"/>
      <c r="UO84" s="61"/>
      <c r="UP84" s="61"/>
      <c r="UQ84" s="61"/>
      <c r="UR84" s="61"/>
      <c r="US84" s="61"/>
      <c r="UT84" s="61"/>
      <c r="UU84" s="61"/>
      <c r="UV84" s="61"/>
      <c r="UW84" s="61"/>
      <c r="UX84" s="61"/>
      <c r="UY84" s="61"/>
      <c r="UZ84" s="61"/>
      <c r="VA84" s="61"/>
      <c r="VB84" s="61"/>
      <c r="VC84" s="61"/>
      <c r="VD84" s="61"/>
      <c r="VE84" s="61"/>
      <c r="VF84" s="61"/>
      <c r="VG84" s="61"/>
      <c r="VH84" s="61"/>
      <c r="VI84" s="61"/>
      <c r="VJ84" s="61"/>
      <c r="VK84" s="61"/>
      <c r="VL84" s="61"/>
      <c r="VM84" s="61"/>
      <c r="VN84" s="61"/>
      <c r="VO84" s="61"/>
      <c r="VP84" s="61"/>
      <c r="VQ84" s="61"/>
      <c r="VR84" s="61"/>
      <c r="VS84" s="61"/>
      <c r="VT84" s="61"/>
      <c r="VU84" s="61"/>
      <c r="VV84" s="61"/>
      <c r="VW84" s="61"/>
      <c r="VX84" s="61"/>
      <c r="VY84" s="61"/>
      <c r="VZ84" s="61"/>
      <c r="WA84" s="61"/>
      <c r="WB84" s="61"/>
      <c r="WC84" s="61"/>
      <c r="WD84" s="61"/>
      <c r="WE84" s="61"/>
      <c r="WF84" s="61"/>
      <c r="WG84" s="61"/>
      <c r="WH84" s="61"/>
      <c r="WI84" s="61"/>
      <c r="WJ84" s="61"/>
      <c r="WK84" s="61"/>
      <c r="WL84" s="61"/>
      <c r="WM84" s="61"/>
      <c r="WN84" s="61"/>
      <c r="WO84" s="61"/>
      <c r="WP84" s="61"/>
      <c r="WQ84" s="61"/>
      <c r="WR84" s="61"/>
      <c r="WS84" s="61"/>
      <c r="WT84" s="61"/>
      <c r="WU84" s="61"/>
      <c r="WV84" s="61"/>
      <c r="WW84" s="61"/>
      <c r="WX84" s="61"/>
      <c r="WY84" s="61"/>
      <c r="WZ84" s="61"/>
      <c r="XA84" s="61"/>
      <c r="XB84" s="61"/>
      <c r="XC84" s="61"/>
      <c r="XD84" s="61"/>
      <c r="XE84" s="61"/>
      <c r="XF84" s="61"/>
      <c r="XG84" s="61"/>
      <c r="XH84" s="61"/>
      <c r="XI84" s="61"/>
      <c r="XJ84" s="61"/>
      <c r="XK84" s="61"/>
      <c r="XL84" s="61"/>
      <c r="XM84" s="61"/>
      <c r="XN84" s="61"/>
      <c r="XO84" s="61"/>
      <c r="XP84" s="61"/>
      <c r="XQ84" s="61"/>
      <c r="XR84" s="61"/>
      <c r="XS84" s="61"/>
      <c r="XT84" s="61"/>
      <c r="XU84" s="61"/>
      <c r="XV84" s="61"/>
      <c r="XW84" s="61"/>
      <c r="XX84" s="61"/>
      <c r="XY84" s="61"/>
      <c r="XZ84" s="61"/>
      <c r="YA84" s="61"/>
      <c r="YB84" s="61"/>
      <c r="YC84" s="61"/>
      <c r="YD84" s="61"/>
      <c r="YE84" s="61"/>
      <c r="YF84" s="61"/>
      <c r="YG84" s="61"/>
      <c r="YH84" s="61"/>
      <c r="YI84" s="61"/>
      <c r="YJ84" s="61"/>
      <c r="YK84" s="61"/>
      <c r="YL84" s="61"/>
      <c r="YM84" s="61"/>
      <c r="YN84" s="61"/>
      <c r="YO84" s="61"/>
      <c r="YP84" s="61"/>
      <c r="YQ84" s="61"/>
      <c r="YR84" s="61"/>
      <c r="YS84" s="61"/>
      <c r="YT84" s="61"/>
      <c r="YU84" s="61"/>
      <c r="YV84" s="61"/>
      <c r="YW84" s="61"/>
      <c r="YX84" s="61"/>
      <c r="YY84" s="61"/>
      <c r="YZ84" s="61"/>
      <c r="ZA84" s="61"/>
      <c r="ZB84" s="61"/>
      <c r="ZC84" s="61"/>
      <c r="ZD84" s="61"/>
      <c r="ZE84" s="61"/>
      <c r="ZF84" s="61"/>
      <c r="ZG84" s="61"/>
      <c r="ZH84" s="61"/>
      <c r="ZI84" s="61"/>
      <c r="ZJ84" s="61"/>
      <c r="ZK84" s="61"/>
      <c r="ZL84" s="61"/>
      <c r="ZM84" s="61"/>
      <c r="ZN84" s="61"/>
      <c r="ZO84" s="61"/>
      <c r="ZP84" s="61"/>
      <c r="ZQ84" s="61"/>
      <c r="ZR84" s="61"/>
      <c r="ZS84" s="61"/>
      <c r="ZT84" s="61"/>
      <c r="ZU84" s="61"/>
      <c r="ZV84" s="61"/>
      <c r="ZW84" s="61"/>
      <c r="ZX84" s="61"/>
      <c r="ZY84" s="61"/>
      <c r="ZZ84" s="61"/>
      <c r="AAA84" s="61"/>
      <c r="AAB84" s="61"/>
      <c r="AAC84" s="61"/>
      <c r="AAD84" s="61"/>
      <c r="AAE84" s="61"/>
      <c r="AAF84" s="61"/>
      <c r="AAG84" s="61"/>
      <c r="AAH84" s="61"/>
      <c r="AAI84" s="61"/>
      <c r="AAJ84" s="61"/>
      <c r="AAK84" s="61"/>
      <c r="AAL84" s="61"/>
      <c r="AAM84" s="61"/>
      <c r="AAN84" s="61"/>
      <c r="AAO84" s="61"/>
      <c r="AAP84" s="61"/>
      <c r="AAQ84" s="61"/>
      <c r="AAR84" s="61"/>
      <c r="AAS84" s="61"/>
      <c r="AAT84" s="61"/>
      <c r="AAU84" s="61"/>
      <c r="AAV84" s="61"/>
      <c r="AAW84" s="61"/>
      <c r="AAX84" s="61"/>
      <c r="AAY84" s="61"/>
      <c r="AAZ84" s="61"/>
      <c r="ABA84" s="61"/>
      <c r="ABB84" s="61"/>
      <c r="ABC84" s="61"/>
      <c r="ABD84" s="61"/>
      <c r="ABE84" s="61"/>
      <c r="ABF84" s="61"/>
      <c r="ABG84" s="61"/>
      <c r="ABH84" s="61"/>
      <c r="ABI84" s="61"/>
      <c r="ABJ84" s="61"/>
      <c r="ABK84" s="61"/>
      <c r="ABL84" s="61"/>
      <c r="ABM84" s="61"/>
      <c r="ABN84" s="61"/>
      <c r="ABO84" s="61"/>
      <c r="ABP84" s="61"/>
      <c r="ABQ84" s="61"/>
      <c r="ABR84" s="61"/>
      <c r="ABS84" s="61"/>
      <c r="ABT84" s="61"/>
      <c r="ABU84" s="61"/>
      <c r="ABV84" s="61"/>
      <c r="ABW84" s="61"/>
      <c r="ABX84" s="61"/>
      <c r="ABY84" s="61"/>
      <c r="ABZ84" s="61"/>
      <c r="ACA84" s="61"/>
      <c r="ACB84" s="61"/>
      <c r="ACC84" s="61"/>
      <c r="ACD84" s="61"/>
      <c r="ACE84" s="61"/>
      <c r="ACF84" s="61"/>
      <c r="ACG84" s="61"/>
      <c r="ACH84" s="61"/>
      <c r="ACI84" s="61"/>
      <c r="ACJ84" s="61"/>
      <c r="ACK84" s="61"/>
      <c r="ACL84" s="61"/>
      <c r="ACM84" s="61"/>
      <c r="ACN84" s="61"/>
      <c r="ACO84" s="61"/>
      <c r="ACP84" s="61"/>
      <c r="ACQ84" s="61"/>
      <c r="ACR84" s="61"/>
      <c r="ACS84" s="61"/>
      <c r="ACT84" s="61"/>
      <c r="ACU84" s="61"/>
      <c r="ACV84" s="61"/>
      <c r="ACW84" s="61"/>
      <c r="ACX84" s="61"/>
      <c r="ACY84" s="61"/>
      <c r="ACZ84" s="61"/>
      <c r="ADA84" s="61"/>
      <c r="ADB84" s="61"/>
      <c r="ADC84" s="61"/>
      <c r="ADD84" s="61"/>
      <c r="ADE84" s="61"/>
      <c r="ADF84" s="61"/>
      <c r="ADG84" s="61"/>
      <c r="ADH84" s="61"/>
      <c r="ADI84" s="61"/>
      <c r="ADJ84" s="61"/>
      <c r="ADK84" s="61"/>
      <c r="ADL84" s="61"/>
      <c r="ADM84" s="61"/>
      <c r="ADN84" s="61"/>
      <c r="ADO84" s="61"/>
      <c r="ADP84" s="61"/>
      <c r="ADQ84" s="61"/>
      <c r="ADR84" s="61"/>
      <c r="ADS84" s="61"/>
      <c r="ADT84" s="61"/>
      <c r="ADU84" s="61"/>
      <c r="ADV84" s="61"/>
      <c r="ADW84" s="61"/>
      <c r="ADX84" s="61"/>
      <c r="ADY84" s="61"/>
      <c r="ADZ84" s="61"/>
      <c r="AEA84" s="61"/>
      <c r="AEB84" s="61"/>
      <c r="AEC84" s="61"/>
      <c r="AED84" s="61"/>
      <c r="AEE84" s="61"/>
      <c r="AEF84" s="61"/>
      <c r="AEG84" s="61"/>
      <c r="AEH84" s="61"/>
      <c r="AEI84" s="61"/>
      <c r="AEJ84" s="61"/>
      <c r="AEK84" s="61"/>
      <c r="AEL84" s="61"/>
      <c r="AEM84" s="61"/>
      <c r="AEN84" s="61"/>
      <c r="AEO84" s="61"/>
      <c r="AEP84" s="61"/>
      <c r="AEQ84" s="61"/>
      <c r="AER84" s="61"/>
      <c r="AES84" s="61"/>
      <c r="AET84" s="61"/>
      <c r="AEU84" s="61"/>
      <c r="AEV84" s="61"/>
      <c r="AEW84" s="61"/>
      <c r="AEX84" s="61"/>
      <c r="AEY84" s="61"/>
      <c r="AEZ84" s="61"/>
      <c r="AFA84" s="61"/>
      <c r="AFB84" s="61"/>
      <c r="AFC84" s="61"/>
      <c r="AFD84" s="61"/>
      <c r="AFE84" s="61"/>
      <c r="AFF84" s="61"/>
      <c r="AFG84" s="61"/>
      <c r="AFH84" s="61"/>
      <c r="AFI84" s="61"/>
      <c r="AFJ84" s="61"/>
      <c r="AFK84" s="61"/>
      <c r="AFL84" s="61"/>
      <c r="AFM84" s="61"/>
      <c r="AFN84" s="61"/>
      <c r="AFO84" s="61"/>
      <c r="AFP84" s="61"/>
      <c r="AFQ84" s="61"/>
      <c r="AFR84" s="61"/>
      <c r="AFS84" s="61"/>
      <c r="AFT84" s="61"/>
      <c r="AFU84" s="61"/>
      <c r="AFV84" s="61"/>
      <c r="AFW84" s="61"/>
      <c r="AFX84" s="61"/>
      <c r="AFY84" s="61"/>
      <c r="AFZ84" s="61"/>
      <c r="AGA84" s="61"/>
      <c r="AGB84" s="61"/>
      <c r="AGC84" s="61"/>
      <c r="AGD84" s="61"/>
      <c r="AGE84" s="61"/>
      <c r="AGF84" s="61"/>
      <c r="AGG84" s="61"/>
      <c r="AGH84" s="61"/>
      <c r="AGI84" s="61"/>
      <c r="AGJ84" s="61"/>
      <c r="AGK84" s="61"/>
      <c r="AGL84" s="61"/>
      <c r="AGM84" s="61"/>
      <c r="AGN84" s="61"/>
      <c r="AGO84" s="61"/>
      <c r="AGP84" s="61"/>
      <c r="AGQ84" s="61"/>
      <c r="AGR84" s="61"/>
      <c r="AGS84" s="61"/>
      <c r="AGT84" s="61"/>
      <c r="AGU84" s="61"/>
      <c r="AGV84" s="61"/>
      <c r="AGW84" s="61"/>
      <c r="AGX84" s="61"/>
      <c r="AGY84" s="61"/>
      <c r="AGZ84" s="61"/>
      <c r="AHA84" s="61"/>
      <c r="AHB84" s="61"/>
      <c r="AHC84" s="61"/>
      <c r="AHD84" s="61"/>
      <c r="AHE84" s="61"/>
      <c r="AHF84" s="61"/>
      <c r="AHG84" s="61"/>
      <c r="AHH84" s="61"/>
      <c r="AHI84" s="61"/>
      <c r="AHJ84" s="61"/>
      <c r="AHK84" s="61"/>
      <c r="AHL84" s="61"/>
      <c r="AHM84" s="61"/>
      <c r="AHN84" s="61"/>
      <c r="AHO84" s="61"/>
      <c r="AHP84" s="61"/>
      <c r="AHQ84" s="61"/>
      <c r="AHR84" s="61"/>
      <c r="AHS84" s="61"/>
      <c r="AHT84" s="61"/>
      <c r="AHU84" s="61"/>
      <c r="AHV84" s="61"/>
      <c r="AHW84" s="61"/>
      <c r="AHX84" s="61"/>
      <c r="AHY84" s="61"/>
      <c r="AHZ84" s="61"/>
      <c r="AIA84" s="61"/>
      <c r="AIB84" s="61"/>
      <c r="AIC84" s="61"/>
      <c r="AID84" s="61"/>
      <c r="AIE84" s="61"/>
      <c r="AIF84" s="61"/>
      <c r="AIG84" s="61"/>
      <c r="AIH84" s="61"/>
      <c r="AII84" s="61"/>
      <c r="AIJ84" s="61"/>
      <c r="AIK84" s="61"/>
      <c r="AIL84" s="61"/>
      <c r="AIM84" s="61"/>
      <c r="AIN84" s="61"/>
      <c r="AIO84" s="61"/>
      <c r="AIP84" s="61"/>
      <c r="AIQ84" s="61"/>
      <c r="AIR84" s="61"/>
      <c r="AIS84" s="61"/>
      <c r="AIT84" s="61"/>
      <c r="AIU84" s="61"/>
      <c r="AIV84" s="61"/>
      <c r="AIW84" s="61"/>
      <c r="AIX84" s="61"/>
      <c r="AIY84" s="61"/>
      <c r="AIZ84" s="61"/>
      <c r="AJA84" s="61"/>
      <c r="AJB84" s="61"/>
      <c r="AJC84" s="61"/>
      <c r="AJD84" s="61"/>
      <c r="AJE84" s="61"/>
      <c r="AJF84" s="61"/>
      <c r="AJG84" s="61"/>
      <c r="AJH84" s="61"/>
      <c r="AJI84" s="61"/>
      <c r="AJJ84" s="61"/>
      <c r="AJK84" s="61"/>
      <c r="AJL84" s="61"/>
      <c r="AJM84" s="61"/>
      <c r="AJN84" s="61"/>
      <c r="AJO84" s="61"/>
      <c r="AJP84" s="61"/>
      <c r="AJQ84" s="61"/>
      <c r="AJR84" s="61"/>
      <c r="AJS84" s="61"/>
      <c r="AJT84" s="61"/>
      <c r="AJU84" s="61"/>
      <c r="AJV84" s="61"/>
      <c r="AJW84" s="61"/>
      <c r="AJX84" s="61"/>
      <c r="AJY84" s="61"/>
      <c r="AJZ84" s="61"/>
      <c r="AKA84" s="61"/>
      <c r="AKB84" s="61"/>
      <c r="AKC84" s="61"/>
      <c r="AKD84" s="61"/>
      <c r="AKE84" s="61"/>
      <c r="AKF84" s="61"/>
      <c r="AKG84" s="61"/>
      <c r="AKH84" s="61"/>
      <c r="AKI84" s="61"/>
      <c r="AKJ84" s="61"/>
      <c r="AKK84" s="61"/>
      <c r="AKL84" s="61"/>
      <c r="AKM84" s="61"/>
      <c r="AKN84" s="61"/>
      <c r="AKO84" s="61"/>
      <c r="AKP84" s="61"/>
      <c r="AKQ84" s="61"/>
      <c r="AKR84" s="61"/>
      <c r="AKS84" s="61"/>
      <c r="AKT84" s="61"/>
      <c r="AKU84" s="61"/>
      <c r="AKV84" s="61"/>
      <c r="AKW84" s="61"/>
      <c r="AKX84" s="61"/>
      <c r="AKY84" s="61"/>
      <c r="AKZ84" s="61"/>
      <c r="ALA84" s="61"/>
      <c r="ALB84" s="61"/>
      <c r="ALC84" s="61"/>
      <c r="ALD84" s="61"/>
      <c r="ALE84" s="61"/>
      <c r="ALF84" s="61"/>
      <c r="ALG84" s="61"/>
      <c r="ALH84" s="61"/>
      <c r="ALI84" s="61"/>
      <c r="ALJ84" s="61"/>
      <c r="ALK84" s="61"/>
      <c r="ALL84" s="61"/>
      <c r="ALM84" s="61"/>
      <c r="ALN84" s="61"/>
      <c r="ALO84" s="61"/>
      <c r="ALP84" s="61"/>
      <c r="ALQ84" s="61"/>
      <c r="ALR84" s="61"/>
      <c r="ALS84" s="61"/>
      <c r="ALT84" s="61"/>
      <c r="ALU84" s="61"/>
      <c r="ALV84" s="61"/>
      <c r="ALW84" s="61"/>
      <c r="ALX84" s="61"/>
      <c r="ALY84" s="61"/>
      <c r="ALZ84" s="61"/>
      <c r="AMA84" s="61"/>
      <c r="AMB84" s="61"/>
      <c r="AMC84" s="61"/>
      <c r="AMD84" s="61"/>
      <c r="AME84" s="61"/>
      <c r="AMF84" s="61"/>
      <c r="AMG84" s="61"/>
      <c r="AMH84" s="61"/>
      <c r="AMI84" s="61"/>
      <c r="AMJ84" s="61"/>
    </row>
    <row r="85" spans="1:1024" ht="99" customHeight="1" thickTop="1" x14ac:dyDescent="0.25">
      <c r="A85" s="3" t="s">
        <v>92</v>
      </c>
      <c r="B85" s="3" t="s">
        <v>81</v>
      </c>
      <c r="C85" s="67">
        <f>COUNTIF($B$10:B85,B85)</f>
        <v>8</v>
      </c>
      <c r="D85" s="3" t="str">
        <f t="shared" si="2"/>
        <v>Protec_8</v>
      </c>
      <c r="E85" s="3" t="s">
        <v>326</v>
      </c>
      <c r="F85" s="5" t="s">
        <v>6</v>
      </c>
      <c r="G85" s="7" t="s">
        <v>150</v>
      </c>
      <c r="H85" s="11" t="s">
        <v>60</v>
      </c>
      <c r="I85" s="7" t="s">
        <v>61</v>
      </c>
      <c r="J85" s="26" t="s">
        <v>7</v>
      </c>
      <c r="K85" s="26" t="s">
        <v>174</v>
      </c>
      <c r="L85" s="154" t="s">
        <v>525</v>
      </c>
      <c r="M85" s="152" t="s">
        <v>526</v>
      </c>
      <c r="N85" s="150" t="s">
        <v>527</v>
      </c>
      <c r="O85" s="142" t="s">
        <v>523</v>
      </c>
      <c r="P85" s="125" t="s">
        <v>524</v>
      </c>
    </row>
    <row r="86" spans="1:1024" ht="89.25" x14ac:dyDescent="0.25">
      <c r="A86" s="3" t="s">
        <v>92</v>
      </c>
      <c r="B86" s="3" t="s">
        <v>81</v>
      </c>
      <c r="C86" s="67">
        <f>COUNTIF($B$10:B86,B86)</f>
        <v>9</v>
      </c>
      <c r="D86" s="3" t="str">
        <f t="shared" si="2"/>
        <v>Protec_9</v>
      </c>
      <c r="E86" s="3" t="s">
        <v>327</v>
      </c>
      <c r="F86" s="5" t="s">
        <v>6</v>
      </c>
      <c r="G86" s="7" t="s">
        <v>352</v>
      </c>
      <c r="H86" s="11" t="s">
        <v>353</v>
      </c>
      <c r="I86" s="70" t="s">
        <v>404</v>
      </c>
      <c r="J86" s="26" t="s">
        <v>7</v>
      </c>
      <c r="K86" s="26" t="s">
        <v>174</v>
      </c>
      <c r="L86" s="219"/>
      <c r="M86" s="218"/>
      <c r="N86" s="223"/>
      <c r="O86" s="222"/>
      <c r="P86" s="126"/>
    </row>
    <row r="87" spans="1:1024" s="77" customFormat="1" ht="198.6" customHeight="1" x14ac:dyDescent="0.25">
      <c r="A87" s="67" t="s">
        <v>22</v>
      </c>
      <c r="B87" s="67"/>
      <c r="C87" s="67"/>
      <c r="D87" s="67"/>
      <c r="E87" s="67"/>
      <c r="F87" s="69"/>
      <c r="G87" s="75" t="s">
        <v>62</v>
      </c>
      <c r="H87" s="78" t="s">
        <v>116</v>
      </c>
      <c r="I87" s="68" t="s">
        <v>390</v>
      </c>
      <c r="J87" s="79"/>
      <c r="K87" s="79"/>
      <c r="L87" s="163" t="s">
        <v>389</v>
      </c>
      <c r="M87" s="164"/>
      <c r="N87" s="164"/>
      <c r="O87" s="164"/>
      <c r="P87" s="165"/>
    </row>
    <row r="88" spans="1:1024" s="77" customFormat="1" ht="234.6" customHeight="1" x14ac:dyDescent="0.25">
      <c r="A88" s="67" t="s">
        <v>22</v>
      </c>
      <c r="B88" s="67" t="s">
        <v>22</v>
      </c>
      <c r="C88" s="67" t="s">
        <v>76</v>
      </c>
      <c r="D88" s="67" t="str">
        <f>CONCATENATE(C88,"_",E88)</f>
        <v>SecAl_1</v>
      </c>
      <c r="E88" s="67">
        <f>COUNTIF($C$10:C88,C88)</f>
        <v>1</v>
      </c>
      <c r="F88" s="69" t="s">
        <v>6</v>
      </c>
      <c r="G88" s="75" t="s">
        <v>387</v>
      </c>
      <c r="H88" s="74" t="s">
        <v>388</v>
      </c>
      <c r="I88" s="68" t="s">
        <v>405</v>
      </c>
      <c r="J88" s="79" t="s">
        <v>7</v>
      </c>
      <c r="K88" s="79" t="s">
        <v>181</v>
      </c>
      <c r="L88" s="163" t="s">
        <v>389</v>
      </c>
      <c r="M88" s="164"/>
      <c r="N88" s="164"/>
      <c r="O88" s="164"/>
      <c r="P88" s="165"/>
    </row>
    <row r="89" spans="1:1024" s="18" customFormat="1" ht="153" x14ac:dyDescent="0.25">
      <c r="A89" s="3" t="s">
        <v>63</v>
      </c>
      <c r="B89" s="3" t="s">
        <v>63</v>
      </c>
      <c r="C89" s="3">
        <f>COUNTIF($B$10:B89,B89)</f>
        <v>1</v>
      </c>
      <c r="D89" s="3" t="str">
        <f t="shared" si="2"/>
        <v>AAP_1</v>
      </c>
      <c r="E89" s="3" t="s">
        <v>328</v>
      </c>
      <c r="F89" s="5" t="s">
        <v>6</v>
      </c>
      <c r="G89" s="15" t="s">
        <v>83</v>
      </c>
      <c r="H89" s="11" t="s">
        <v>82</v>
      </c>
      <c r="I89" s="10" t="s">
        <v>454</v>
      </c>
      <c r="J89" s="26" t="s">
        <v>7</v>
      </c>
      <c r="K89" s="26" t="s">
        <v>182</v>
      </c>
      <c r="L89" s="31"/>
      <c r="M89" s="31"/>
      <c r="N89" s="31"/>
      <c r="O89" s="31"/>
      <c r="P89" s="31"/>
      <c r="Q89" s="16"/>
    </row>
    <row r="90" spans="1:1024" s="18" customFormat="1" ht="388.5" customHeight="1" x14ac:dyDescent="0.25">
      <c r="A90" s="3" t="s">
        <v>63</v>
      </c>
      <c r="B90" s="3" t="s">
        <v>63</v>
      </c>
      <c r="C90" s="67">
        <f>COUNTIF($B$10:B90,B90)</f>
        <v>2</v>
      </c>
      <c r="D90" s="3" t="str">
        <f t="shared" si="2"/>
        <v>AAP_2</v>
      </c>
      <c r="E90" s="3" t="s">
        <v>329</v>
      </c>
      <c r="F90" s="5" t="s">
        <v>6</v>
      </c>
      <c r="G90" s="15" t="s">
        <v>84</v>
      </c>
      <c r="H90" s="11" t="s">
        <v>85</v>
      </c>
      <c r="I90" s="10" t="s">
        <v>455</v>
      </c>
      <c r="J90" s="26" t="s">
        <v>7</v>
      </c>
      <c r="K90" s="26" t="s">
        <v>182</v>
      </c>
      <c r="L90" s="31"/>
      <c r="M90" s="31"/>
      <c r="N90" s="31"/>
      <c r="O90" s="31"/>
      <c r="P90" s="31"/>
    </row>
    <row r="91" spans="1:1024" s="18" customFormat="1" ht="229.5" x14ac:dyDescent="0.25">
      <c r="A91" s="3" t="s">
        <v>63</v>
      </c>
      <c r="B91" s="3" t="s">
        <v>63</v>
      </c>
      <c r="C91" s="67">
        <f>COUNTIF($B$10:B91,B91)</f>
        <v>3</v>
      </c>
      <c r="D91" s="3" t="str">
        <f t="shared" si="2"/>
        <v>AAP_3</v>
      </c>
      <c r="E91" s="3" t="s">
        <v>330</v>
      </c>
      <c r="F91" s="5" t="s">
        <v>6</v>
      </c>
      <c r="G91" s="15" t="s">
        <v>87</v>
      </c>
      <c r="H91" s="11" t="s">
        <v>86</v>
      </c>
      <c r="I91" s="10" t="s">
        <v>456</v>
      </c>
      <c r="J91" s="26" t="s">
        <v>7</v>
      </c>
      <c r="K91" s="26" t="s">
        <v>182</v>
      </c>
      <c r="L91" s="31"/>
      <c r="M91" s="31"/>
      <c r="N91" s="31"/>
      <c r="O91" s="31"/>
      <c r="P91" s="31"/>
    </row>
    <row r="92" spans="1:1024" s="18" customFormat="1" ht="140.25" x14ac:dyDescent="0.25">
      <c r="A92" s="3" t="s">
        <v>63</v>
      </c>
      <c r="B92" s="3" t="s">
        <v>63</v>
      </c>
      <c r="C92" s="67">
        <f>COUNTIF($B$10:B92,B92)</f>
        <v>4</v>
      </c>
      <c r="D92" s="3" t="str">
        <f t="shared" si="2"/>
        <v>AAP_4</v>
      </c>
      <c r="E92" s="3" t="s">
        <v>331</v>
      </c>
      <c r="F92" s="5" t="s">
        <v>6</v>
      </c>
      <c r="G92" s="15" t="s">
        <v>88</v>
      </c>
      <c r="H92" s="11" t="s">
        <v>64</v>
      </c>
      <c r="I92" s="10" t="s">
        <v>457</v>
      </c>
      <c r="J92" s="26" t="s">
        <v>7</v>
      </c>
      <c r="K92" s="26" t="s">
        <v>182</v>
      </c>
      <c r="L92" s="31"/>
      <c r="M92" s="31"/>
      <c r="N92" s="31"/>
      <c r="O92" s="31"/>
      <c r="P92" s="31"/>
    </row>
    <row r="93" spans="1:1024" s="18" customFormat="1" ht="150.6" customHeight="1" x14ac:dyDescent="0.25">
      <c r="A93" s="3" t="s">
        <v>365</v>
      </c>
      <c r="B93" s="3"/>
      <c r="C93" s="3"/>
      <c r="D93" s="3"/>
      <c r="E93" s="3" t="s">
        <v>364</v>
      </c>
      <c r="F93" s="5"/>
      <c r="G93" s="15"/>
      <c r="H93" s="11" t="s">
        <v>358</v>
      </c>
      <c r="I93" s="10" t="s">
        <v>362</v>
      </c>
      <c r="J93" s="26"/>
      <c r="K93" s="26"/>
      <c r="L93" s="209" t="s">
        <v>201</v>
      </c>
      <c r="M93" s="210"/>
      <c r="N93" s="210"/>
      <c r="O93" s="210"/>
      <c r="P93" s="211"/>
    </row>
    <row r="94" spans="1:1024" ht="228" customHeight="1" x14ac:dyDescent="0.25">
      <c r="A94" s="3" t="s">
        <v>13</v>
      </c>
      <c r="B94" s="3" t="s">
        <v>75</v>
      </c>
      <c r="C94" s="3">
        <f>COUNTIF($B$10:B94,B94)</f>
        <v>6</v>
      </c>
      <c r="D94" s="3" t="str">
        <f>CONCATENATE(B94,"_",C94)</f>
        <v>NFI_6</v>
      </c>
      <c r="E94" s="3" t="s">
        <v>277</v>
      </c>
      <c r="F94" s="5" t="s">
        <v>6</v>
      </c>
      <c r="G94" s="5" t="s">
        <v>19</v>
      </c>
      <c r="H94" s="11" t="s">
        <v>406</v>
      </c>
      <c r="I94" s="68" t="s">
        <v>458</v>
      </c>
      <c r="J94" s="26" t="s">
        <v>7</v>
      </c>
      <c r="K94" s="26" t="s">
        <v>172</v>
      </c>
      <c r="L94" s="212"/>
      <c r="M94" s="213"/>
      <c r="N94" s="213"/>
      <c r="O94" s="213"/>
      <c r="P94" s="214"/>
    </row>
    <row r="95" spans="1:1024" s="76" customFormat="1" ht="228" customHeight="1" x14ac:dyDescent="0.25">
      <c r="A95" s="67" t="s">
        <v>157</v>
      </c>
      <c r="B95" s="67" t="s">
        <v>75</v>
      </c>
      <c r="C95" s="67">
        <f>COUNTIF($B$10:B95,B95)</f>
        <v>7</v>
      </c>
      <c r="D95" s="67" t="str">
        <f>CONCATENATE(B95,"_",C95)</f>
        <v>NFI_7</v>
      </c>
      <c r="E95" s="67" t="s">
        <v>459</v>
      </c>
      <c r="F95" s="69" t="s">
        <v>6</v>
      </c>
      <c r="G95" s="69" t="s">
        <v>19</v>
      </c>
      <c r="H95" s="74" t="s">
        <v>460</v>
      </c>
      <c r="I95" s="68" t="s">
        <v>461</v>
      </c>
      <c r="J95" s="79" t="s">
        <v>7</v>
      </c>
      <c r="K95" s="79" t="s">
        <v>172</v>
      </c>
      <c r="L95" s="212"/>
      <c r="M95" s="213"/>
      <c r="N95" s="213"/>
      <c r="O95" s="213"/>
      <c r="P95" s="214"/>
    </row>
    <row r="96" spans="1:1024" ht="221.1" customHeight="1" x14ac:dyDescent="0.25">
      <c r="A96" s="3" t="s">
        <v>52</v>
      </c>
      <c r="B96" s="3" t="s">
        <v>78</v>
      </c>
      <c r="C96" s="67">
        <f>COUNTIF($B$10:B96,B96)</f>
        <v>7</v>
      </c>
      <c r="D96" s="3" t="str">
        <f>CONCATENATE(B96,"_",C96)</f>
        <v>Sante_7</v>
      </c>
      <c r="E96" s="3" t="s">
        <v>313</v>
      </c>
      <c r="F96" s="5" t="s">
        <v>6</v>
      </c>
      <c r="G96" s="5" t="s">
        <v>184</v>
      </c>
      <c r="H96" s="11" t="s">
        <v>355</v>
      </c>
      <c r="I96" s="5" t="s">
        <v>255</v>
      </c>
      <c r="J96" s="26" t="s">
        <v>7</v>
      </c>
      <c r="K96" s="26" t="s">
        <v>171</v>
      </c>
      <c r="L96" s="212"/>
      <c r="M96" s="213"/>
      <c r="N96" s="213"/>
      <c r="O96" s="213"/>
      <c r="P96" s="214"/>
    </row>
    <row r="97" spans="1:17" ht="273.60000000000002" customHeight="1" x14ac:dyDescent="0.25">
      <c r="A97" s="3" t="s">
        <v>29</v>
      </c>
      <c r="B97" s="3" t="s">
        <v>77</v>
      </c>
      <c r="C97" s="67">
        <f>COUNTIF($B$10:B97,B97)</f>
        <v>16</v>
      </c>
      <c r="D97" s="3" t="str">
        <f>CONCATENATE(B97,"_",C97)</f>
        <v>WASH_16</v>
      </c>
      <c r="E97" s="3" t="s">
        <v>304</v>
      </c>
      <c r="F97" s="4" t="s">
        <v>6</v>
      </c>
      <c r="G97" s="4" t="s">
        <v>43</v>
      </c>
      <c r="H97" s="11" t="s">
        <v>356</v>
      </c>
      <c r="I97" s="4" t="s">
        <v>345</v>
      </c>
      <c r="J97" s="26" t="s">
        <v>7</v>
      </c>
      <c r="K97" s="26" t="s">
        <v>176</v>
      </c>
      <c r="L97" s="212"/>
      <c r="M97" s="213"/>
      <c r="N97" s="213"/>
      <c r="O97" s="213"/>
      <c r="P97" s="214"/>
    </row>
    <row r="98" spans="1:17" ht="234" customHeight="1" x14ac:dyDescent="0.25">
      <c r="A98" s="3" t="s">
        <v>53</v>
      </c>
      <c r="B98" s="3" t="s">
        <v>80</v>
      </c>
      <c r="C98" s="67">
        <f>COUNTIF($B$10:B98,B98)</f>
        <v>5</v>
      </c>
      <c r="D98" s="3" t="str">
        <f>CONCATENATE(B98,"_",C98)</f>
        <v>Educ_5</v>
      </c>
      <c r="E98" s="3" t="s">
        <v>318</v>
      </c>
      <c r="F98" s="5" t="s">
        <v>6</v>
      </c>
      <c r="G98" s="5" t="s">
        <v>57</v>
      </c>
      <c r="H98" s="11" t="s">
        <v>357</v>
      </c>
      <c r="I98" s="5" t="s">
        <v>462</v>
      </c>
      <c r="J98" s="26" t="s">
        <v>7</v>
      </c>
      <c r="K98" s="26" t="s">
        <v>167</v>
      </c>
      <c r="L98" s="215"/>
      <c r="M98" s="216"/>
      <c r="N98" s="216"/>
      <c r="O98" s="216"/>
      <c r="P98" s="217"/>
    </row>
    <row r="99" spans="1:17" x14ac:dyDescent="0.25">
      <c r="Q99" s="18"/>
    </row>
    <row r="100" spans="1:17" x14ac:dyDescent="0.25">
      <c r="Q100" s="18"/>
    </row>
  </sheetData>
  <autoFilter ref="A1:K98"/>
  <mergeCells count="79">
    <mergeCell ref="L93:P98"/>
    <mergeCell ref="O68:O71"/>
    <mergeCell ref="P68:P71"/>
    <mergeCell ref="O79:P79"/>
    <mergeCell ref="M85:M86"/>
    <mergeCell ref="L85:L86"/>
    <mergeCell ref="O81:P82"/>
    <mergeCell ref="L83:M83"/>
    <mergeCell ref="O85:O86"/>
    <mergeCell ref="N85:N86"/>
    <mergeCell ref="O80:P80"/>
    <mergeCell ref="N74:N75"/>
    <mergeCell ref="L77:P77"/>
    <mergeCell ref="M78:P78"/>
    <mergeCell ref="L88:P88"/>
    <mergeCell ref="P85:P86"/>
    <mergeCell ref="L1:P1"/>
    <mergeCell ref="L61:L64"/>
    <mergeCell ref="M61:M64"/>
    <mergeCell ref="N61:N64"/>
    <mergeCell ref="O61:O64"/>
    <mergeCell ref="P61:P64"/>
    <mergeCell ref="P46:P47"/>
    <mergeCell ref="O46:O47"/>
    <mergeCell ref="N46:N47"/>
    <mergeCell ref="M46:M47"/>
    <mergeCell ref="L46:L47"/>
    <mergeCell ref="L30:P31"/>
    <mergeCell ref="L54:N54"/>
    <mergeCell ref="L59:M59"/>
    <mergeCell ref="L60:M60"/>
    <mergeCell ref="L44:L45"/>
    <mergeCell ref="L41:P41"/>
    <mergeCell ref="L48:L49"/>
    <mergeCell ref="N39:N40"/>
    <mergeCell ref="L39:M40"/>
    <mergeCell ref="O39:P40"/>
    <mergeCell ref="P44:P45"/>
    <mergeCell ref="O44:O45"/>
    <mergeCell ref="N44:N45"/>
    <mergeCell ref="M44:M45"/>
    <mergeCell ref="L87:P87"/>
    <mergeCell ref="L65:L66"/>
    <mergeCell ref="M65:M66"/>
    <mergeCell ref="N65:N66"/>
    <mergeCell ref="O74:O75"/>
    <mergeCell ref="P74:P75"/>
    <mergeCell ref="L81:N82"/>
    <mergeCell ref="L84:O84"/>
    <mergeCell ref="L72:P73"/>
    <mergeCell ref="L67:P67"/>
    <mergeCell ref="L79:N79"/>
    <mergeCell ref="L80:N80"/>
    <mergeCell ref="L74:M75"/>
    <mergeCell ref="O65:O66"/>
    <mergeCell ref="P65:P66"/>
    <mergeCell ref="L68:L71"/>
    <mergeCell ref="L13:O14"/>
    <mergeCell ref="P13:P14"/>
    <mergeCell ref="O29:P29"/>
    <mergeCell ref="O56:O58"/>
    <mergeCell ref="M52:P52"/>
    <mergeCell ref="M53:P53"/>
    <mergeCell ref="L34:O34"/>
    <mergeCell ref="L35:O35"/>
    <mergeCell ref="P32:P33"/>
    <mergeCell ref="O32:O33"/>
    <mergeCell ref="N32:N33"/>
    <mergeCell ref="M32:M33"/>
    <mergeCell ref="L32:L33"/>
    <mergeCell ref="L38:P38"/>
    <mergeCell ref="M48:M49"/>
    <mergeCell ref="N48:N49"/>
    <mergeCell ref="M68:M71"/>
    <mergeCell ref="N68:N71"/>
    <mergeCell ref="L56:N58"/>
    <mergeCell ref="P56:P58"/>
    <mergeCell ref="O48:O49"/>
    <mergeCell ref="P48:P49"/>
  </mergeCells>
  <conditionalFormatting sqref="H61:H62">
    <cfRule type="duplicateValues" dxfId="3" priority="20"/>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217"/>
  <sheetViews>
    <sheetView tabSelected="1" topLeftCell="F1" zoomScale="109" zoomScaleNormal="60" workbookViewId="0">
      <selection activeCell="G19" sqref="G19"/>
    </sheetView>
  </sheetViews>
  <sheetFormatPr defaultRowHeight="16.5" x14ac:dyDescent="0.3"/>
  <cols>
    <col min="1" max="1" width="27.140625" style="107" customWidth="1"/>
    <col min="2" max="2" width="7.140625" style="76" hidden="1" customWidth="1"/>
    <col min="3" max="3" width="6.140625" style="76" hidden="1" customWidth="1"/>
    <col min="4" max="4" width="12.85546875" style="76" hidden="1" customWidth="1"/>
    <col min="5" max="5" width="22.140625" style="107" hidden="1" customWidth="1"/>
    <col min="6" max="6" width="32.42578125" style="107" customWidth="1"/>
    <col min="7" max="7" width="57.28515625" style="107" customWidth="1"/>
    <col min="8" max="8" width="94.85546875" style="107" customWidth="1"/>
    <col min="9" max="9" width="12" style="107" customWidth="1"/>
    <col min="10" max="10" width="27.28515625" style="109" bestFit="1" customWidth="1"/>
  </cols>
  <sheetData>
    <row r="1" spans="1:10" ht="38.25" x14ac:dyDescent="0.25">
      <c r="A1" s="88" t="s">
        <v>0</v>
      </c>
      <c r="B1" s="88" t="s">
        <v>72</v>
      </c>
      <c r="C1" s="88" t="s">
        <v>73</v>
      </c>
      <c r="D1" s="88" t="s">
        <v>70</v>
      </c>
      <c r="E1" s="2" t="s">
        <v>1</v>
      </c>
      <c r="F1" s="89" t="s">
        <v>2</v>
      </c>
      <c r="G1" s="89" t="s">
        <v>3</v>
      </c>
      <c r="H1" s="89" t="s">
        <v>530</v>
      </c>
      <c r="I1" s="90" t="s">
        <v>4</v>
      </c>
      <c r="J1" s="108" t="s">
        <v>761</v>
      </c>
    </row>
    <row r="2" spans="1:10" ht="76.5" hidden="1" x14ac:dyDescent="0.25">
      <c r="A2" s="67" t="s">
        <v>161</v>
      </c>
      <c r="B2" s="67"/>
      <c r="C2" s="67"/>
      <c r="D2" s="67"/>
      <c r="E2" s="67"/>
      <c r="F2" s="68"/>
      <c r="G2" s="56" t="s">
        <v>531</v>
      </c>
      <c r="H2" s="70"/>
      <c r="I2" s="70"/>
      <c r="J2" s="27" t="s">
        <v>762</v>
      </c>
    </row>
    <row r="3" spans="1:10" ht="15" hidden="1" x14ac:dyDescent="0.25">
      <c r="A3" s="67"/>
      <c r="B3" s="67"/>
      <c r="C3" s="67"/>
      <c r="D3" s="67"/>
      <c r="E3" s="67"/>
      <c r="F3" s="68"/>
      <c r="G3" s="56" t="s">
        <v>235</v>
      </c>
      <c r="H3" s="70"/>
      <c r="I3" s="70"/>
      <c r="J3" s="27" t="s">
        <v>762</v>
      </c>
    </row>
    <row r="4" spans="1:10" ht="15" hidden="1" x14ac:dyDescent="0.25">
      <c r="A4" s="67"/>
      <c r="B4" s="67"/>
      <c r="C4" s="67"/>
      <c r="D4" s="67"/>
      <c r="E4" s="67"/>
      <c r="F4" s="68"/>
      <c r="G4" s="56" t="s">
        <v>236</v>
      </c>
      <c r="H4" s="70"/>
      <c r="I4" s="70"/>
      <c r="J4" s="27" t="s">
        <v>762</v>
      </c>
    </row>
    <row r="5" spans="1:10" ht="280.5" hidden="1" x14ac:dyDescent="0.25">
      <c r="A5" s="67"/>
      <c r="B5" s="67"/>
      <c r="C5" s="67"/>
      <c r="D5" s="67"/>
      <c r="E5" s="67"/>
      <c r="F5" s="68"/>
      <c r="G5" s="56" t="s">
        <v>532</v>
      </c>
      <c r="H5" s="70" t="s">
        <v>533</v>
      </c>
      <c r="I5" s="70" t="s">
        <v>237</v>
      </c>
      <c r="J5" s="27" t="s">
        <v>762</v>
      </c>
    </row>
    <row r="6" spans="1:10" ht="15" hidden="1" x14ac:dyDescent="0.25">
      <c r="A6" s="67"/>
      <c r="B6" s="67"/>
      <c r="C6" s="67"/>
      <c r="D6" s="67"/>
      <c r="E6" s="67"/>
      <c r="F6" s="68"/>
      <c r="G6" s="56" t="s">
        <v>238</v>
      </c>
      <c r="H6" s="70" t="s">
        <v>242</v>
      </c>
      <c r="I6" s="70" t="s">
        <v>242</v>
      </c>
      <c r="J6" s="27" t="s">
        <v>762</v>
      </c>
    </row>
    <row r="7" spans="1:10" ht="25.5" hidden="1" x14ac:dyDescent="0.25">
      <c r="A7" s="67"/>
      <c r="B7" s="67"/>
      <c r="C7" s="67"/>
      <c r="D7" s="67"/>
      <c r="E7" s="67"/>
      <c r="F7" s="68"/>
      <c r="G7" s="56" t="s">
        <v>239</v>
      </c>
      <c r="H7" s="70" t="s">
        <v>243</v>
      </c>
      <c r="I7" s="70" t="s">
        <v>243</v>
      </c>
      <c r="J7" s="27" t="s">
        <v>762</v>
      </c>
    </row>
    <row r="8" spans="1:10" ht="25.5" hidden="1" x14ac:dyDescent="0.25">
      <c r="A8" s="67"/>
      <c r="B8" s="67"/>
      <c r="C8" s="67"/>
      <c r="D8" s="67"/>
      <c r="E8" s="67"/>
      <c r="F8" s="68"/>
      <c r="G8" s="56" t="s">
        <v>240</v>
      </c>
      <c r="H8" s="70" t="s">
        <v>244</v>
      </c>
      <c r="I8" s="70" t="s">
        <v>244</v>
      </c>
      <c r="J8" s="27" t="s">
        <v>762</v>
      </c>
    </row>
    <row r="9" spans="1:10" ht="25.5" hidden="1" x14ac:dyDescent="0.25">
      <c r="A9" s="67"/>
      <c r="B9" s="67"/>
      <c r="C9" s="67"/>
      <c r="D9" s="67"/>
      <c r="E9" s="67"/>
      <c r="F9" s="68"/>
      <c r="G9" s="56" t="s">
        <v>241</v>
      </c>
      <c r="H9" s="70" t="s">
        <v>245</v>
      </c>
      <c r="I9" s="70" t="s">
        <v>245</v>
      </c>
      <c r="J9" s="27" t="s">
        <v>762</v>
      </c>
    </row>
    <row r="10" spans="1:10" ht="15" hidden="1" x14ac:dyDescent="0.25">
      <c r="A10" s="67" t="s">
        <v>534</v>
      </c>
      <c r="B10" s="67"/>
      <c r="C10" s="67"/>
      <c r="D10" s="67"/>
      <c r="E10" s="67"/>
      <c r="F10" s="68"/>
      <c r="G10" s="56" t="s">
        <v>535</v>
      </c>
      <c r="H10" s="70" t="s">
        <v>242</v>
      </c>
      <c r="I10" s="70" t="s">
        <v>242</v>
      </c>
      <c r="J10" s="27" t="s">
        <v>762</v>
      </c>
    </row>
    <row r="11" spans="1:10" ht="25.5" hidden="1" x14ac:dyDescent="0.25">
      <c r="A11" s="67"/>
      <c r="B11" s="67"/>
      <c r="C11" s="67"/>
      <c r="D11" s="67"/>
      <c r="E11" s="67"/>
      <c r="F11" s="68"/>
      <c r="G11" s="56" t="s">
        <v>536</v>
      </c>
      <c r="H11" s="70" t="s">
        <v>243</v>
      </c>
      <c r="I11" s="70" t="s">
        <v>243</v>
      </c>
      <c r="J11" s="27" t="s">
        <v>762</v>
      </c>
    </row>
    <row r="12" spans="1:10" ht="25.5" hidden="1" x14ac:dyDescent="0.25">
      <c r="A12" s="67"/>
      <c r="B12" s="67"/>
      <c r="C12" s="67"/>
      <c r="D12" s="67"/>
      <c r="E12" s="67"/>
      <c r="F12" s="68"/>
      <c r="G12" s="56" t="s">
        <v>537</v>
      </c>
      <c r="H12" s="70" t="s">
        <v>244</v>
      </c>
      <c r="I12" s="70" t="s">
        <v>244</v>
      </c>
      <c r="J12" s="27" t="s">
        <v>762</v>
      </c>
    </row>
    <row r="13" spans="1:10" ht="25.5" hidden="1" x14ac:dyDescent="0.25">
      <c r="A13" s="67"/>
      <c r="B13" s="67"/>
      <c r="C13" s="67"/>
      <c r="D13" s="67"/>
      <c r="E13" s="67"/>
      <c r="F13" s="68"/>
      <c r="G13" s="56" t="s">
        <v>538</v>
      </c>
      <c r="H13" s="70" t="s">
        <v>539</v>
      </c>
      <c r="I13" s="70" t="s">
        <v>539</v>
      </c>
      <c r="J13" s="27" t="s">
        <v>762</v>
      </c>
    </row>
    <row r="14" spans="1:10" ht="63.75" hidden="1" x14ac:dyDescent="0.25">
      <c r="A14" s="67"/>
      <c r="B14" s="67"/>
      <c r="C14" s="67"/>
      <c r="D14" s="67"/>
      <c r="E14" s="67"/>
      <c r="F14" s="68"/>
      <c r="G14" s="56" t="s">
        <v>540</v>
      </c>
      <c r="H14" s="70" t="s">
        <v>760</v>
      </c>
      <c r="I14" s="70"/>
      <c r="J14" s="27" t="s">
        <v>762</v>
      </c>
    </row>
    <row r="15" spans="1:10" ht="127.5" x14ac:dyDescent="0.25">
      <c r="A15" s="91" t="s">
        <v>5</v>
      </c>
      <c r="B15" s="91" t="s">
        <v>74</v>
      </c>
      <c r="C15" s="91">
        <f>COUNTIF($B$15:B15,B15)</f>
        <v>1</v>
      </c>
      <c r="D15" s="91" t="str">
        <f t="shared" ref="D15:D59" si="0">CONCATENATE(B15,"_",C15)</f>
        <v>IG_1</v>
      </c>
      <c r="E15" s="92" t="s">
        <v>541</v>
      </c>
      <c r="F15" s="69" t="s">
        <v>542</v>
      </c>
      <c r="G15" s="93" t="s">
        <v>543</v>
      </c>
      <c r="H15" s="71" t="s">
        <v>544</v>
      </c>
      <c r="I15" s="27" t="s">
        <v>545</v>
      </c>
      <c r="J15" s="27" t="s">
        <v>763</v>
      </c>
    </row>
    <row r="16" spans="1:10" ht="89.25" x14ac:dyDescent="0.25">
      <c r="A16" s="91" t="s">
        <v>5</v>
      </c>
      <c r="B16" s="91" t="s">
        <v>74</v>
      </c>
      <c r="C16" s="91">
        <f>COUNTIF($B$15:B16,B16)</f>
        <v>2</v>
      </c>
      <c r="D16" s="91" t="str">
        <f>CONCATENATE(B16,"_",C16)</f>
        <v>IG_2</v>
      </c>
      <c r="E16" s="92" t="s">
        <v>541</v>
      </c>
      <c r="F16" s="69" t="s">
        <v>546</v>
      </c>
      <c r="G16" s="93" t="s">
        <v>547</v>
      </c>
      <c r="H16" s="71" t="s">
        <v>548</v>
      </c>
      <c r="I16" s="27" t="s">
        <v>545</v>
      </c>
      <c r="J16" s="27" t="s">
        <v>765</v>
      </c>
    </row>
    <row r="17" spans="1:10" ht="102" x14ac:dyDescent="0.25">
      <c r="A17" s="91" t="s">
        <v>5</v>
      </c>
      <c r="B17" s="91" t="s">
        <v>74</v>
      </c>
      <c r="C17" s="91">
        <f>COUNTIF($B$15:B17,B17)</f>
        <v>3</v>
      </c>
      <c r="D17" s="91" t="str">
        <f t="shared" si="0"/>
        <v>IG_3</v>
      </c>
      <c r="E17" s="92" t="s">
        <v>541</v>
      </c>
      <c r="F17" s="69" t="s">
        <v>549</v>
      </c>
      <c r="G17" s="93" t="s">
        <v>550</v>
      </c>
      <c r="H17" s="71" t="s">
        <v>441</v>
      </c>
      <c r="I17" s="27" t="s">
        <v>545</v>
      </c>
      <c r="J17" s="27" t="s">
        <v>765</v>
      </c>
    </row>
    <row r="18" spans="1:10" ht="76.5" hidden="1" x14ac:dyDescent="0.25">
      <c r="A18" s="91" t="s">
        <v>5</v>
      </c>
      <c r="B18" s="91" t="s">
        <v>74</v>
      </c>
      <c r="C18" s="91">
        <f>COUNTIF($B$15:B18,B18)</f>
        <v>4</v>
      </c>
      <c r="D18" s="91" t="str">
        <f>CONCATENATE(B18,"_",C18)</f>
        <v>IG_4</v>
      </c>
      <c r="E18" s="92" t="s">
        <v>541</v>
      </c>
      <c r="F18" s="69" t="s">
        <v>551</v>
      </c>
      <c r="G18" s="93" t="s">
        <v>552</v>
      </c>
      <c r="H18" s="69" t="s">
        <v>553</v>
      </c>
      <c r="I18" s="27" t="s">
        <v>545</v>
      </c>
      <c r="J18" s="27" t="s">
        <v>764</v>
      </c>
    </row>
    <row r="19" spans="1:10" ht="127.5" x14ac:dyDescent="0.25">
      <c r="A19" s="91" t="s">
        <v>5</v>
      </c>
      <c r="B19" s="91" t="s">
        <v>74</v>
      </c>
      <c r="C19" s="91">
        <f>COUNTIF($B$15:B19,B19)</f>
        <v>5</v>
      </c>
      <c r="D19" s="91" t="str">
        <f>CONCATENATE(B19,"_",C19)</f>
        <v>IG_5</v>
      </c>
      <c r="E19" s="92" t="s">
        <v>541</v>
      </c>
      <c r="F19" s="69" t="s">
        <v>120</v>
      </c>
      <c r="G19" s="93" t="s">
        <v>554</v>
      </c>
      <c r="H19" s="70" t="s">
        <v>360</v>
      </c>
      <c r="I19" s="27" t="s">
        <v>545</v>
      </c>
      <c r="J19" s="27" t="s">
        <v>763</v>
      </c>
    </row>
    <row r="20" spans="1:10" ht="153" x14ac:dyDescent="0.25">
      <c r="A20" s="91" t="s">
        <v>5</v>
      </c>
      <c r="B20" s="91" t="s">
        <v>74</v>
      </c>
      <c r="C20" s="91">
        <f>COUNTIF($B$15:B20,B20)</f>
        <v>6</v>
      </c>
      <c r="D20" s="91" t="str">
        <f t="shared" si="0"/>
        <v>IG_6</v>
      </c>
      <c r="E20" s="92" t="s">
        <v>541</v>
      </c>
      <c r="F20" s="69" t="s">
        <v>555</v>
      </c>
      <c r="G20" s="93" t="s">
        <v>556</v>
      </c>
      <c r="H20" s="71" t="s">
        <v>419</v>
      </c>
      <c r="I20" s="27" t="s">
        <v>545</v>
      </c>
      <c r="J20" s="27" t="s">
        <v>765</v>
      </c>
    </row>
    <row r="21" spans="1:10" ht="76.5" x14ac:dyDescent="0.25">
      <c r="A21" s="91" t="s">
        <v>5</v>
      </c>
      <c r="B21" s="91" t="s">
        <v>74</v>
      </c>
      <c r="C21" s="91">
        <f>COUNTIF($B$15:B21,B21)</f>
        <v>7</v>
      </c>
      <c r="D21" s="91" t="str">
        <f t="shared" si="0"/>
        <v>IG_7</v>
      </c>
      <c r="E21" s="92" t="s">
        <v>541</v>
      </c>
      <c r="F21" s="69" t="s">
        <v>557</v>
      </c>
      <c r="G21" s="93" t="s">
        <v>558</v>
      </c>
      <c r="H21" s="68" t="s">
        <v>559</v>
      </c>
      <c r="I21" s="27" t="s">
        <v>545</v>
      </c>
      <c r="J21" s="27" t="s">
        <v>765</v>
      </c>
    </row>
    <row r="22" spans="1:10" ht="102" x14ac:dyDescent="0.25">
      <c r="A22" s="91" t="s">
        <v>5</v>
      </c>
      <c r="B22" s="91" t="s">
        <v>74</v>
      </c>
      <c r="C22" s="91">
        <f>COUNTIF($B$15:B22,B22)</f>
        <v>8</v>
      </c>
      <c r="D22" s="91" t="str">
        <f t="shared" si="0"/>
        <v>IG_8</v>
      </c>
      <c r="E22" s="92" t="s">
        <v>541</v>
      </c>
      <c r="F22" s="69" t="s">
        <v>560</v>
      </c>
      <c r="G22" s="93" t="s">
        <v>561</v>
      </c>
      <c r="H22" s="70" t="s">
        <v>414</v>
      </c>
      <c r="I22" s="27" t="s">
        <v>545</v>
      </c>
      <c r="J22" s="27" t="s">
        <v>765</v>
      </c>
    </row>
    <row r="23" spans="1:10" ht="89.25" x14ac:dyDescent="0.25">
      <c r="A23" s="91" t="s">
        <v>11</v>
      </c>
      <c r="B23" s="91" t="s">
        <v>71</v>
      </c>
      <c r="C23" s="91">
        <f>COUNTIF($B$15:B23,B23)</f>
        <v>1</v>
      </c>
      <c r="D23" s="91" t="str">
        <f t="shared" si="0"/>
        <v>IL_1</v>
      </c>
      <c r="E23" s="92" t="s">
        <v>541</v>
      </c>
      <c r="F23" s="69" t="s">
        <v>12</v>
      </c>
      <c r="G23" s="93" t="s">
        <v>562</v>
      </c>
      <c r="H23" s="72" t="s">
        <v>563</v>
      </c>
      <c r="I23" s="27" t="s">
        <v>545</v>
      </c>
      <c r="J23" s="27" t="s">
        <v>765</v>
      </c>
    </row>
    <row r="24" spans="1:10" ht="76.5" x14ac:dyDescent="0.25">
      <c r="A24" s="91" t="s">
        <v>13</v>
      </c>
      <c r="B24" s="91" t="s">
        <v>75</v>
      </c>
      <c r="C24" s="91">
        <f>COUNTIF($B$15:B24,B24)</f>
        <v>1</v>
      </c>
      <c r="D24" s="91" t="str">
        <f t="shared" si="0"/>
        <v>NFI_1</v>
      </c>
      <c r="E24" s="94" t="s">
        <v>541</v>
      </c>
      <c r="F24" s="69" t="s">
        <v>564</v>
      </c>
      <c r="G24" s="93" t="s">
        <v>565</v>
      </c>
      <c r="H24" s="73" t="s">
        <v>434</v>
      </c>
      <c r="I24" s="27" t="s">
        <v>545</v>
      </c>
      <c r="J24" s="27" t="s">
        <v>765</v>
      </c>
    </row>
    <row r="25" spans="1:10" ht="76.5" x14ac:dyDescent="0.25">
      <c r="A25" s="91" t="s">
        <v>13</v>
      </c>
      <c r="B25" s="91" t="s">
        <v>75</v>
      </c>
      <c r="C25" s="91">
        <f>COUNTIF($B$15:B25,B25)</f>
        <v>2</v>
      </c>
      <c r="D25" s="91" t="str">
        <f t="shared" si="0"/>
        <v>NFI_2</v>
      </c>
      <c r="E25" s="94" t="s">
        <v>541</v>
      </c>
      <c r="F25" s="69" t="s">
        <v>566</v>
      </c>
      <c r="G25" s="93" t="s">
        <v>567</v>
      </c>
      <c r="H25" s="68" t="s">
        <v>568</v>
      </c>
      <c r="I25" s="27" t="s">
        <v>545</v>
      </c>
      <c r="J25" s="27" t="s">
        <v>765</v>
      </c>
    </row>
    <row r="26" spans="1:10" ht="76.5" x14ac:dyDescent="0.25">
      <c r="A26" s="91" t="s">
        <v>13</v>
      </c>
      <c r="B26" s="91" t="s">
        <v>75</v>
      </c>
      <c r="C26" s="91">
        <f>COUNTIF($B$15:B26,B26)</f>
        <v>3</v>
      </c>
      <c r="D26" s="91" t="str">
        <f t="shared" si="0"/>
        <v>NFI_3</v>
      </c>
      <c r="E26" s="94" t="s">
        <v>541</v>
      </c>
      <c r="F26" s="69" t="s">
        <v>569</v>
      </c>
      <c r="G26" s="93" t="s">
        <v>570</v>
      </c>
      <c r="H26" s="68" t="s">
        <v>568</v>
      </c>
      <c r="I26" s="27" t="s">
        <v>545</v>
      </c>
      <c r="J26" s="27" t="s">
        <v>765</v>
      </c>
    </row>
    <row r="27" spans="1:10" ht="51" x14ac:dyDescent="0.25">
      <c r="A27" s="91" t="s">
        <v>13</v>
      </c>
      <c r="B27" s="91" t="s">
        <v>75</v>
      </c>
      <c r="C27" s="91">
        <f>COUNTIF($B$15:B27,B27)</f>
        <v>4</v>
      </c>
      <c r="D27" s="91" t="str">
        <f t="shared" si="0"/>
        <v>NFI_4</v>
      </c>
      <c r="E27" s="94" t="s">
        <v>541</v>
      </c>
      <c r="F27" s="69" t="s">
        <v>571</v>
      </c>
      <c r="G27" s="93" t="s">
        <v>572</v>
      </c>
      <c r="H27" s="68" t="s">
        <v>573</v>
      </c>
      <c r="I27" s="27" t="s">
        <v>545</v>
      </c>
      <c r="J27" s="27" t="s">
        <v>765</v>
      </c>
    </row>
    <row r="28" spans="1:10" ht="191.25" x14ac:dyDescent="0.25">
      <c r="A28" s="91" t="s">
        <v>13</v>
      </c>
      <c r="B28" s="91" t="s">
        <v>75</v>
      </c>
      <c r="C28" s="91">
        <f>COUNTIF($B$15:B28,B28)</f>
        <v>5</v>
      </c>
      <c r="D28" s="91" t="str">
        <f t="shared" si="0"/>
        <v>NFI_5</v>
      </c>
      <c r="E28" s="94" t="s">
        <v>541</v>
      </c>
      <c r="F28" s="69" t="s">
        <v>574</v>
      </c>
      <c r="G28" s="93" t="s">
        <v>575</v>
      </c>
      <c r="H28" s="68" t="s">
        <v>458</v>
      </c>
      <c r="I28" s="27" t="s">
        <v>545</v>
      </c>
      <c r="J28" s="27" t="s">
        <v>765</v>
      </c>
    </row>
    <row r="29" spans="1:10" ht="114.75" x14ac:dyDescent="0.25">
      <c r="A29" s="91" t="s">
        <v>20</v>
      </c>
      <c r="B29" s="91" t="s">
        <v>20</v>
      </c>
      <c r="C29" s="91">
        <f>COUNTIF($B$15:B29,B29)</f>
        <v>1</v>
      </c>
      <c r="D29" s="91" t="str">
        <f>CONCATENATE(B29,"_",C29)</f>
        <v>MSSC_1</v>
      </c>
      <c r="E29" s="92" t="s">
        <v>541</v>
      </c>
      <c r="F29" s="69" t="s">
        <v>576</v>
      </c>
      <c r="G29" s="93" t="s">
        <v>577</v>
      </c>
      <c r="H29" s="71" t="s">
        <v>578</v>
      </c>
      <c r="I29" s="27" t="s">
        <v>545</v>
      </c>
      <c r="J29" s="27" t="s">
        <v>765</v>
      </c>
    </row>
    <row r="30" spans="1:10" ht="191.25" x14ac:dyDescent="0.25">
      <c r="A30" s="91" t="s">
        <v>20</v>
      </c>
      <c r="B30" s="91" t="s">
        <v>20</v>
      </c>
      <c r="C30" s="91">
        <f>COUNTIF($B$15:B30,B30)</f>
        <v>2</v>
      </c>
      <c r="D30" s="91" t="str">
        <f t="shared" si="0"/>
        <v>MSSC_2</v>
      </c>
      <c r="E30" s="92" t="s">
        <v>541</v>
      </c>
      <c r="F30" s="69" t="s">
        <v>579</v>
      </c>
      <c r="G30" s="93" t="s">
        <v>580</v>
      </c>
      <c r="H30" s="71" t="s">
        <v>386</v>
      </c>
      <c r="I30" s="27" t="s">
        <v>545</v>
      </c>
      <c r="J30" s="27" t="s">
        <v>765</v>
      </c>
    </row>
    <row r="31" spans="1:10" ht="114.75" x14ac:dyDescent="0.25">
      <c r="A31" s="95" t="s">
        <v>20</v>
      </c>
      <c r="B31" s="95" t="s">
        <v>20</v>
      </c>
      <c r="C31" s="95">
        <f>COUNTIF($B$15:B31,B31)</f>
        <v>3</v>
      </c>
      <c r="D31" s="95" t="str">
        <f t="shared" si="0"/>
        <v>MSSC_3</v>
      </c>
      <c r="E31" s="92" t="s">
        <v>541</v>
      </c>
      <c r="F31" s="70" t="s">
        <v>581</v>
      </c>
      <c r="G31" s="93" t="s">
        <v>582</v>
      </c>
      <c r="H31" s="68" t="s">
        <v>101</v>
      </c>
      <c r="I31" s="27" t="s">
        <v>545</v>
      </c>
      <c r="J31" s="27" t="s">
        <v>765</v>
      </c>
    </row>
    <row r="32" spans="1:10" ht="114.75" x14ac:dyDescent="0.25">
      <c r="A32" s="95" t="s">
        <v>20</v>
      </c>
      <c r="B32" s="95" t="s">
        <v>20</v>
      </c>
      <c r="C32" s="95">
        <f>COUNTIF($B$15:B32,B32)</f>
        <v>4</v>
      </c>
      <c r="D32" s="95" t="str">
        <f t="shared" si="0"/>
        <v>MSSC_4</v>
      </c>
      <c r="E32" s="92" t="s">
        <v>541</v>
      </c>
      <c r="F32" s="70" t="s">
        <v>583</v>
      </c>
      <c r="G32" s="96" t="s">
        <v>584</v>
      </c>
      <c r="H32" s="68" t="s">
        <v>100</v>
      </c>
      <c r="I32" s="27" t="s">
        <v>545</v>
      </c>
      <c r="J32" s="27" t="s">
        <v>765</v>
      </c>
    </row>
    <row r="33" spans="1:10" ht="76.5" x14ac:dyDescent="0.25">
      <c r="A33" s="95" t="s">
        <v>20</v>
      </c>
      <c r="B33" s="95" t="s">
        <v>20</v>
      </c>
      <c r="C33" s="95">
        <f>COUNTIF($B$15:B33,B33)</f>
        <v>5</v>
      </c>
      <c r="D33" s="95" t="str">
        <f t="shared" si="0"/>
        <v>MSSC_5</v>
      </c>
      <c r="E33" s="92" t="s">
        <v>541</v>
      </c>
      <c r="F33" s="70" t="s">
        <v>585</v>
      </c>
      <c r="G33" s="96" t="s">
        <v>586</v>
      </c>
      <c r="H33" s="68" t="s">
        <v>587</v>
      </c>
      <c r="I33" s="27" t="s">
        <v>545</v>
      </c>
      <c r="J33" s="27" t="s">
        <v>765</v>
      </c>
    </row>
    <row r="34" spans="1:10" ht="76.5" x14ac:dyDescent="0.25">
      <c r="A34" s="91" t="s">
        <v>20</v>
      </c>
      <c r="B34" s="91" t="s">
        <v>20</v>
      </c>
      <c r="C34" s="91">
        <f>COUNTIF($B$15:B34,B34)</f>
        <v>6</v>
      </c>
      <c r="D34" s="91" t="str">
        <f t="shared" si="0"/>
        <v>MSSC_6</v>
      </c>
      <c r="E34" s="92" t="s">
        <v>541</v>
      </c>
      <c r="F34" s="70" t="s">
        <v>588</v>
      </c>
      <c r="G34" s="96" t="s">
        <v>589</v>
      </c>
      <c r="H34" s="68" t="s">
        <v>590</v>
      </c>
      <c r="I34" s="27" t="s">
        <v>545</v>
      </c>
      <c r="J34" s="27" t="s">
        <v>765</v>
      </c>
    </row>
    <row r="35" spans="1:10" ht="204" hidden="1" x14ac:dyDescent="0.25">
      <c r="A35" s="91" t="s">
        <v>22</v>
      </c>
      <c r="B35" s="91" t="s">
        <v>76</v>
      </c>
      <c r="C35" s="91">
        <f>COUNTIF($B$15:B38,B35)</f>
        <v>4</v>
      </c>
      <c r="D35" s="91" t="str">
        <f>CONCATENATE(B35,"_",C35)</f>
        <v>SecAl_4</v>
      </c>
      <c r="E35" s="92" t="s">
        <v>541</v>
      </c>
      <c r="F35" s="70" t="s">
        <v>591</v>
      </c>
      <c r="G35" s="96" t="s">
        <v>592</v>
      </c>
      <c r="H35" s="68" t="s">
        <v>593</v>
      </c>
      <c r="I35" s="27" t="s">
        <v>545</v>
      </c>
      <c r="J35" s="27" t="s">
        <v>767</v>
      </c>
    </row>
    <row r="36" spans="1:10" ht="76.5" x14ac:dyDescent="0.25">
      <c r="A36" s="91" t="s">
        <v>22</v>
      </c>
      <c r="B36" s="91" t="s">
        <v>76</v>
      </c>
      <c r="C36" s="91">
        <f>COUNTIF($B$15:B36,B36)</f>
        <v>2</v>
      </c>
      <c r="D36" s="91" t="str">
        <f t="shared" si="0"/>
        <v>SecAl_2</v>
      </c>
      <c r="E36" s="92" t="s">
        <v>541</v>
      </c>
      <c r="F36" s="69" t="s">
        <v>594</v>
      </c>
      <c r="G36" s="93" t="s">
        <v>595</v>
      </c>
      <c r="H36" s="68" t="s">
        <v>596</v>
      </c>
      <c r="I36" s="27" t="s">
        <v>545</v>
      </c>
      <c r="J36" s="27" t="s">
        <v>765</v>
      </c>
    </row>
    <row r="37" spans="1:10" ht="165.75" x14ac:dyDescent="0.25">
      <c r="A37" s="91" t="s">
        <v>22</v>
      </c>
      <c r="B37" s="91" t="s">
        <v>76</v>
      </c>
      <c r="C37" s="91">
        <f>COUNTIF($B$15:B37,B37)</f>
        <v>3</v>
      </c>
      <c r="D37" s="91" t="str">
        <f t="shared" si="0"/>
        <v>SecAl_3</v>
      </c>
      <c r="E37" s="92" t="s">
        <v>541</v>
      </c>
      <c r="F37" s="69" t="s">
        <v>597</v>
      </c>
      <c r="G37" s="93" t="s">
        <v>598</v>
      </c>
      <c r="H37" s="68" t="s">
        <v>599</v>
      </c>
      <c r="I37" s="27" t="s">
        <v>545</v>
      </c>
      <c r="J37" s="27" t="s">
        <v>765</v>
      </c>
    </row>
    <row r="38" spans="1:10" ht="89.25" x14ac:dyDescent="0.25">
      <c r="A38" s="95" t="s">
        <v>22</v>
      </c>
      <c r="B38" s="95" t="s">
        <v>76</v>
      </c>
      <c r="C38" s="95">
        <f>COUNTIF($B$15:B38,B38)</f>
        <v>4</v>
      </c>
      <c r="D38" s="95" t="str">
        <f t="shared" si="0"/>
        <v>SecAl_4</v>
      </c>
      <c r="E38" s="97" t="s">
        <v>541</v>
      </c>
      <c r="F38" s="69" t="s">
        <v>600</v>
      </c>
      <c r="G38" s="93" t="s">
        <v>601</v>
      </c>
      <c r="H38" s="68" t="s">
        <v>152</v>
      </c>
      <c r="I38" s="27" t="s">
        <v>545</v>
      </c>
      <c r="J38" s="27" t="s">
        <v>763</v>
      </c>
    </row>
    <row r="39" spans="1:10" ht="102" x14ac:dyDescent="0.25">
      <c r="A39" s="91" t="s">
        <v>157</v>
      </c>
      <c r="B39" s="91" t="s">
        <v>76</v>
      </c>
      <c r="C39" s="91">
        <f>COUNTIF($B$15:B39,B39)</f>
        <v>5</v>
      </c>
      <c r="D39" s="91" t="str">
        <f t="shared" si="0"/>
        <v>SecAl_5</v>
      </c>
      <c r="E39" s="94" t="s">
        <v>541</v>
      </c>
      <c r="F39" s="69" t="s">
        <v>602</v>
      </c>
      <c r="G39" s="93" t="s">
        <v>603</v>
      </c>
      <c r="H39" s="68" t="s">
        <v>604</v>
      </c>
      <c r="I39" s="27" t="s">
        <v>545</v>
      </c>
      <c r="J39" s="27" t="s">
        <v>765</v>
      </c>
    </row>
    <row r="40" spans="1:10" ht="229.5" hidden="1" x14ac:dyDescent="0.25">
      <c r="A40" s="91" t="s">
        <v>22</v>
      </c>
      <c r="B40" s="91" t="s">
        <v>76</v>
      </c>
      <c r="C40" s="91">
        <f>COUNTIF($B$15:B40,B40)</f>
        <v>6</v>
      </c>
      <c r="D40" s="91" t="str">
        <f t="shared" si="0"/>
        <v>SecAl_6</v>
      </c>
      <c r="E40" s="94" t="s">
        <v>541</v>
      </c>
      <c r="F40" s="69" t="s">
        <v>605</v>
      </c>
      <c r="G40" s="93" t="s">
        <v>606</v>
      </c>
      <c r="H40" s="68" t="s">
        <v>607</v>
      </c>
      <c r="I40" s="27" t="s">
        <v>545</v>
      </c>
      <c r="J40" s="27" t="s">
        <v>766</v>
      </c>
    </row>
    <row r="41" spans="1:10" ht="114.75" x14ac:dyDescent="0.25">
      <c r="A41" s="91" t="s">
        <v>22</v>
      </c>
      <c r="B41" s="91" t="s">
        <v>76</v>
      </c>
      <c r="C41" s="91">
        <f>COUNTIF($B$15:B41,B41)</f>
        <v>7</v>
      </c>
      <c r="D41" s="91" t="str">
        <f t="shared" si="0"/>
        <v>SecAl_7</v>
      </c>
      <c r="E41" s="94" t="s">
        <v>541</v>
      </c>
      <c r="F41" s="69" t="s">
        <v>608</v>
      </c>
      <c r="G41" s="93" t="s">
        <v>609</v>
      </c>
      <c r="H41" s="68" t="s">
        <v>610</v>
      </c>
      <c r="I41" s="27" t="s">
        <v>545</v>
      </c>
      <c r="J41" s="27" t="s">
        <v>765</v>
      </c>
    </row>
    <row r="42" spans="1:10" ht="255" x14ac:dyDescent="0.25">
      <c r="A42" s="91" t="s">
        <v>22</v>
      </c>
      <c r="B42" s="91" t="s">
        <v>76</v>
      </c>
      <c r="C42" s="91">
        <f>COUNTIF($B$15:B42,B42)</f>
        <v>8</v>
      </c>
      <c r="D42" s="91" t="str">
        <f t="shared" si="0"/>
        <v>SecAl_8</v>
      </c>
      <c r="E42" s="94" t="s">
        <v>541</v>
      </c>
      <c r="F42" s="69" t="s">
        <v>611</v>
      </c>
      <c r="G42" s="93" t="s">
        <v>612</v>
      </c>
      <c r="H42" s="68" t="s">
        <v>613</v>
      </c>
      <c r="I42" s="27" t="s">
        <v>545</v>
      </c>
      <c r="J42" s="27" t="s">
        <v>765</v>
      </c>
    </row>
    <row r="43" spans="1:10" ht="165.75" x14ac:dyDescent="0.25">
      <c r="A43" s="91" t="s">
        <v>29</v>
      </c>
      <c r="B43" s="91" t="s">
        <v>77</v>
      </c>
      <c r="C43" s="91">
        <f>COUNTIF($B$15:B43,B43)</f>
        <v>1</v>
      </c>
      <c r="D43" s="91" t="str">
        <f t="shared" si="0"/>
        <v>WASH_1</v>
      </c>
      <c r="E43" s="94" t="s">
        <v>541</v>
      </c>
      <c r="F43" s="69" t="s">
        <v>614</v>
      </c>
      <c r="G43" s="93" t="s">
        <v>615</v>
      </c>
      <c r="H43" s="68" t="s">
        <v>616</v>
      </c>
      <c r="I43" s="27" t="s">
        <v>545</v>
      </c>
      <c r="J43" s="27" t="s">
        <v>765</v>
      </c>
    </row>
    <row r="44" spans="1:10" ht="165.75" x14ac:dyDescent="0.25">
      <c r="A44" s="91" t="s">
        <v>29</v>
      </c>
      <c r="B44" s="91" t="s">
        <v>77</v>
      </c>
      <c r="C44" s="91">
        <f>COUNTIF($B$15:B44,B44)</f>
        <v>2</v>
      </c>
      <c r="D44" s="91" t="str">
        <f t="shared" si="0"/>
        <v>WASH_2</v>
      </c>
      <c r="E44" s="94" t="s">
        <v>541</v>
      </c>
      <c r="F44" s="69" t="s">
        <v>617</v>
      </c>
      <c r="G44" s="93" t="s">
        <v>618</v>
      </c>
      <c r="H44" s="68" t="s">
        <v>136</v>
      </c>
      <c r="I44" s="27" t="s">
        <v>545</v>
      </c>
      <c r="J44" s="27" t="s">
        <v>765</v>
      </c>
    </row>
    <row r="45" spans="1:10" ht="63.75" x14ac:dyDescent="0.25">
      <c r="A45" s="91" t="s">
        <v>29</v>
      </c>
      <c r="B45" s="91" t="s">
        <v>77</v>
      </c>
      <c r="C45" s="91">
        <f>COUNTIF($B$15:B45,B45)</f>
        <v>3</v>
      </c>
      <c r="D45" s="91" t="str">
        <f t="shared" si="0"/>
        <v>WASH_3</v>
      </c>
      <c r="E45" s="94" t="s">
        <v>541</v>
      </c>
      <c r="F45" s="68" t="s">
        <v>30</v>
      </c>
      <c r="G45" s="93" t="s">
        <v>619</v>
      </c>
      <c r="H45" s="68" t="s">
        <v>620</v>
      </c>
      <c r="I45" s="27" t="s">
        <v>545</v>
      </c>
      <c r="J45" s="27" t="s">
        <v>765</v>
      </c>
    </row>
    <row r="46" spans="1:10" ht="38.25" x14ac:dyDescent="0.25">
      <c r="A46" s="91" t="s">
        <v>29</v>
      </c>
      <c r="B46" s="91" t="s">
        <v>77</v>
      </c>
      <c r="C46" s="91">
        <f>COUNTIF($B$15:B46,B46)</f>
        <v>4</v>
      </c>
      <c r="D46" s="91" t="str">
        <f t="shared" si="0"/>
        <v>WASH_4</v>
      </c>
      <c r="E46" s="94" t="s">
        <v>541</v>
      </c>
      <c r="F46" s="69" t="s">
        <v>621</v>
      </c>
      <c r="G46" s="93" t="s">
        <v>622</v>
      </c>
      <c r="H46" s="68" t="s">
        <v>623</v>
      </c>
      <c r="I46" s="27" t="s">
        <v>545</v>
      </c>
      <c r="J46" s="27" t="s">
        <v>765</v>
      </c>
    </row>
    <row r="47" spans="1:10" ht="63.75" hidden="1" x14ac:dyDescent="0.25">
      <c r="A47" s="91" t="s">
        <v>29</v>
      </c>
      <c r="B47" s="91" t="s">
        <v>77</v>
      </c>
      <c r="C47" s="91">
        <f>COUNTIF($B$15:B47,B47)</f>
        <v>5</v>
      </c>
      <c r="D47" s="91" t="str">
        <f t="shared" si="0"/>
        <v>WASH_5</v>
      </c>
      <c r="E47" s="94" t="s">
        <v>541</v>
      </c>
      <c r="F47" s="69" t="s">
        <v>624</v>
      </c>
      <c r="G47" s="93" t="s">
        <v>625</v>
      </c>
      <c r="H47" s="68" t="s">
        <v>626</v>
      </c>
      <c r="I47" s="27" t="s">
        <v>545</v>
      </c>
      <c r="J47" s="27" t="s">
        <v>767</v>
      </c>
    </row>
    <row r="48" spans="1:10" ht="63.75" x14ac:dyDescent="0.25">
      <c r="A48" s="91" t="s">
        <v>29</v>
      </c>
      <c r="B48" s="91" t="s">
        <v>77</v>
      </c>
      <c r="C48" s="91">
        <f>COUNTIF($B$15:B48,B48)</f>
        <v>6</v>
      </c>
      <c r="D48" s="91" t="str">
        <f t="shared" si="0"/>
        <v>WASH_6</v>
      </c>
      <c r="E48" s="92" t="s">
        <v>541</v>
      </c>
      <c r="F48" s="68" t="s">
        <v>627</v>
      </c>
      <c r="G48" s="93" t="s">
        <v>628</v>
      </c>
      <c r="H48" s="73" t="s">
        <v>629</v>
      </c>
      <c r="I48" s="27" t="s">
        <v>545</v>
      </c>
      <c r="J48" s="27" t="s">
        <v>765</v>
      </c>
    </row>
    <row r="49" spans="1:10" ht="165.75" x14ac:dyDescent="0.25">
      <c r="A49" s="91" t="s">
        <v>29</v>
      </c>
      <c r="B49" s="91" t="s">
        <v>77</v>
      </c>
      <c r="C49" s="91">
        <f>COUNTIF($B$15:B49,B49)</f>
        <v>7</v>
      </c>
      <c r="D49" s="91" t="str">
        <f t="shared" si="0"/>
        <v>WASH_7</v>
      </c>
      <c r="E49" s="92" t="s">
        <v>541</v>
      </c>
      <c r="F49" s="68" t="s">
        <v>630</v>
      </c>
      <c r="G49" s="93" t="s">
        <v>631</v>
      </c>
      <c r="H49" s="73" t="s">
        <v>632</v>
      </c>
      <c r="I49" s="27" t="s">
        <v>545</v>
      </c>
      <c r="J49" s="27" t="s">
        <v>765</v>
      </c>
    </row>
    <row r="50" spans="1:10" ht="89.25" x14ac:dyDescent="0.25">
      <c r="A50" s="91" t="s">
        <v>29</v>
      </c>
      <c r="B50" s="91" t="s">
        <v>77</v>
      </c>
      <c r="C50" s="91">
        <f>COUNTIF($B$15:B50,B50)</f>
        <v>8</v>
      </c>
      <c r="D50" s="91" t="str">
        <f t="shared" si="0"/>
        <v>WASH_8</v>
      </c>
      <c r="E50" s="94" t="s">
        <v>541</v>
      </c>
      <c r="F50" s="69" t="s">
        <v>633</v>
      </c>
      <c r="G50" s="93" t="s">
        <v>634</v>
      </c>
      <c r="H50" s="73" t="s">
        <v>635</v>
      </c>
      <c r="I50" s="27" t="s">
        <v>545</v>
      </c>
      <c r="J50" s="27" t="s">
        <v>765</v>
      </c>
    </row>
    <row r="51" spans="1:10" ht="51" hidden="1" x14ac:dyDescent="0.25">
      <c r="A51" s="91" t="s">
        <v>29</v>
      </c>
      <c r="B51" s="91" t="s">
        <v>77</v>
      </c>
      <c r="C51" s="91">
        <f>COUNTIF($B$15:B51,B51)</f>
        <v>9</v>
      </c>
      <c r="D51" s="91" t="str">
        <f t="shared" si="0"/>
        <v>WASH_9</v>
      </c>
      <c r="E51" s="94" t="s">
        <v>541</v>
      </c>
      <c r="F51" s="69" t="s">
        <v>636</v>
      </c>
      <c r="G51" s="93" t="s">
        <v>637</v>
      </c>
      <c r="H51" s="68" t="s">
        <v>638</v>
      </c>
      <c r="I51" s="27" t="s">
        <v>545</v>
      </c>
      <c r="J51" s="27" t="s">
        <v>768</v>
      </c>
    </row>
    <row r="52" spans="1:10" ht="63.75" x14ac:dyDescent="0.25">
      <c r="A52" s="91" t="s">
        <v>29</v>
      </c>
      <c r="B52" s="91" t="s">
        <v>77</v>
      </c>
      <c r="C52" s="91">
        <f>COUNTIF($B$15:B52,B52)</f>
        <v>10</v>
      </c>
      <c r="D52" s="91" t="str">
        <f t="shared" si="0"/>
        <v>WASH_10</v>
      </c>
      <c r="E52" s="94" t="s">
        <v>541</v>
      </c>
      <c r="F52" s="69" t="s">
        <v>639</v>
      </c>
      <c r="G52" s="93" t="s">
        <v>640</v>
      </c>
      <c r="H52" s="73" t="s">
        <v>641</v>
      </c>
      <c r="I52" s="27" t="s">
        <v>545</v>
      </c>
      <c r="J52" s="27" t="s">
        <v>765</v>
      </c>
    </row>
    <row r="53" spans="1:10" ht="63.75" x14ac:dyDescent="0.25">
      <c r="A53" s="91" t="s">
        <v>29</v>
      </c>
      <c r="B53" s="91" t="s">
        <v>77</v>
      </c>
      <c r="C53" s="91">
        <f>COUNTIF($B$15:B53,B53)</f>
        <v>11</v>
      </c>
      <c r="D53" s="91" t="str">
        <f>CONCATENATE(B53,"_",C53)</f>
        <v>WASH_11</v>
      </c>
      <c r="E53" s="94" t="s">
        <v>541</v>
      </c>
      <c r="F53" s="69" t="s">
        <v>642</v>
      </c>
      <c r="G53" s="93" t="s">
        <v>643</v>
      </c>
      <c r="H53" s="73" t="s">
        <v>644</v>
      </c>
      <c r="I53" s="27" t="s">
        <v>545</v>
      </c>
      <c r="J53" s="27" t="s">
        <v>765</v>
      </c>
    </row>
    <row r="54" spans="1:10" ht="153" x14ac:dyDescent="0.25">
      <c r="A54" s="91" t="s">
        <v>29</v>
      </c>
      <c r="B54" s="91" t="s">
        <v>77</v>
      </c>
      <c r="C54" s="91">
        <f>COUNTIF($B$15:B54,B54)</f>
        <v>12</v>
      </c>
      <c r="D54" s="91" t="str">
        <f t="shared" si="0"/>
        <v>WASH_12</v>
      </c>
      <c r="E54" s="92" t="s">
        <v>541</v>
      </c>
      <c r="F54" s="68" t="s">
        <v>645</v>
      </c>
      <c r="G54" s="93" t="s">
        <v>646</v>
      </c>
      <c r="H54" s="73" t="s">
        <v>647</v>
      </c>
      <c r="I54" s="27" t="s">
        <v>545</v>
      </c>
      <c r="J54" s="27" t="s">
        <v>765</v>
      </c>
    </row>
    <row r="55" spans="1:10" ht="51" x14ac:dyDescent="0.25">
      <c r="A55" s="91" t="s">
        <v>29</v>
      </c>
      <c r="B55" s="91" t="s">
        <v>77</v>
      </c>
      <c r="C55" s="91">
        <f>COUNTIF($B$15:B55,B55)</f>
        <v>13</v>
      </c>
      <c r="D55" s="91" t="str">
        <f>CONCATENATE(B55,"_",C55)</f>
        <v>WASH_13</v>
      </c>
      <c r="E55" s="94" t="s">
        <v>541</v>
      </c>
      <c r="F55" s="69" t="s">
        <v>648</v>
      </c>
      <c r="G55" s="93" t="s">
        <v>649</v>
      </c>
      <c r="H55" s="69" t="s">
        <v>650</v>
      </c>
      <c r="I55" s="27" t="s">
        <v>545</v>
      </c>
      <c r="J55" s="27" t="s">
        <v>765</v>
      </c>
    </row>
    <row r="56" spans="1:10" ht="89.25" x14ac:dyDescent="0.25">
      <c r="A56" s="91" t="s">
        <v>29</v>
      </c>
      <c r="B56" s="91" t="s">
        <v>77</v>
      </c>
      <c r="C56" s="91">
        <f>COUNTIF($B$15:B56,B56)</f>
        <v>14</v>
      </c>
      <c r="D56" s="91" t="str">
        <f t="shared" si="0"/>
        <v>WASH_14</v>
      </c>
      <c r="E56" s="94" t="s">
        <v>541</v>
      </c>
      <c r="F56" s="69" t="s">
        <v>651</v>
      </c>
      <c r="G56" s="93" t="s">
        <v>652</v>
      </c>
      <c r="H56" s="69" t="s">
        <v>653</v>
      </c>
      <c r="I56" s="27" t="s">
        <v>545</v>
      </c>
      <c r="J56" s="27" t="s">
        <v>765</v>
      </c>
    </row>
    <row r="57" spans="1:10" ht="76.5" x14ac:dyDescent="0.25">
      <c r="A57" s="91" t="s">
        <v>29</v>
      </c>
      <c r="B57" s="91" t="s">
        <v>77</v>
      </c>
      <c r="C57" s="91">
        <f>COUNTIF($B$15:B57,B57)</f>
        <v>15</v>
      </c>
      <c r="D57" s="91" t="str">
        <f t="shared" si="0"/>
        <v>WASH_15</v>
      </c>
      <c r="E57" s="94" t="s">
        <v>541</v>
      </c>
      <c r="F57" s="69" t="s">
        <v>654</v>
      </c>
      <c r="G57" s="93" t="s">
        <v>655</v>
      </c>
      <c r="H57" s="69" t="s">
        <v>97</v>
      </c>
      <c r="I57" s="27" t="s">
        <v>545</v>
      </c>
      <c r="J57" s="27" t="s">
        <v>763</v>
      </c>
    </row>
    <row r="58" spans="1:10" ht="76.5" x14ac:dyDescent="0.25">
      <c r="A58" s="91" t="s">
        <v>29</v>
      </c>
      <c r="B58" s="91" t="s">
        <v>77</v>
      </c>
      <c r="C58" s="91">
        <f>COUNTIF($B$15:B58,B58)</f>
        <v>16</v>
      </c>
      <c r="D58" s="91" t="str">
        <f t="shared" si="0"/>
        <v>WASH_16</v>
      </c>
      <c r="E58" s="92" t="s">
        <v>541</v>
      </c>
      <c r="F58" s="68" t="s">
        <v>656</v>
      </c>
      <c r="G58" s="93" t="s">
        <v>657</v>
      </c>
      <c r="H58" s="68" t="s">
        <v>45</v>
      </c>
      <c r="I58" s="27" t="s">
        <v>545</v>
      </c>
      <c r="J58" s="27" t="s">
        <v>765</v>
      </c>
    </row>
    <row r="59" spans="1:10" ht="306" x14ac:dyDescent="0.25">
      <c r="A59" s="91" t="s">
        <v>29</v>
      </c>
      <c r="B59" s="91" t="s">
        <v>77</v>
      </c>
      <c r="C59" s="91">
        <f>COUNTIF($B$15:B59,B59)</f>
        <v>17</v>
      </c>
      <c r="D59" s="91" t="str">
        <f t="shared" si="0"/>
        <v>WASH_17</v>
      </c>
      <c r="E59" s="92" t="s">
        <v>541</v>
      </c>
      <c r="F59" s="68" t="s">
        <v>656</v>
      </c>
      <c r="G59" s="93" t="s">
        <v>658</v>
      </c>
      <c r="H59" s="68" t="s">
        <v>659</v>
      </c>
      <c r="I59" s="27" t="s">
        <v>545</v>
      </c>
      <c r="J59" s="27" t="s">
        <v>765</v>
      </c>
    </row>
    <row r="60" spans="1:10" ht="216.75" x14ac:dyDescent="0.25">
      <c r="A60" s="91" t="s">
        <v>46</v>
      </c>
      <c r="B60" s="91" t="s">
        <v>78</v>
      </c>
      <c r="C60" s="91">
        <f>COUNTIF($B$15:B60,B60)</f>
        <v>1</v>
      </c>
      <c r="D60" s="91" t="str">
        <f>CONCATENATE(B60,"_",C60)</f>
        <v>Sante_1</v>
      </c>
      <c r="E60" s="94" t="s">
        <v>541</v>
      </c>
      <c r="F60" s="69" t="s">
        <v>660</v>
      </c>
      <c r="G60" s="93" t="s">
        <v>661</v>
      </c>
      <c r="H60" s="68" t="s">
        <v>662</v>
      </c>
      <c r="I60" s="27" t="s">
        <v>545</v>
      </c>
      <c r="J60" s="27" t="s">
        <v>765</v>
      </c>
    </row>
    <row r="61" spans="1:10" ht="76.5" x14ac:dyDescent="0.25">
      <c r="A61" s="91" t="s">
        <v>46</v>
      </c>
      <c r="B61" s="91" t="s">
        <v>78</v>
      </c>
      <c r="C61" s="91">
        <f>COUNTIF($B$15:B61,B61)</f>
        <v>2</v>
      </c>
      <c r="D61" s="91" t="str">
        <f>CONCATENATE(B61,"_",C61)</f>
        <v>Sante_2</v>
      </c>
      <c r="E61" s="94" t="s">
        <v>541</v>
      </c>
      <c r="F61" s="69" t="s">
        <v>663</v>
      </c>
      <c r="G61" s="93" t="s">
        <v>664</v>
      </c>
      <c r="H61" s="68" t="s">
        <v>665</v>
      </c>
      <c r="I61" s="27" t="s">
        <v>545</v>
      </c>
      <c r="J61" s="27" t="s">
        <v>765</v>
      </c>
    </row>
    <row r="62" spans="1:10" ht="114.75" x14ac:dyDescent="0.25">
      <c r="A62" s="91" t="s">
        <v>46</v>
      </c>
      <c r="B62" s="91" t="s">
        <v>78</v>
      </c>
      <c r="C62" s="91">
        <f>COUNTIF($B$15:B62,B62)</f>
        <v>3</v>
      </c>
      <c r="D62" s="91" t="str">
        <f>CONCATENATE(B62,"_",C62)</f>
        <v>Sante_3</v>
      </c>
      <c r="E62" s="94" t="s">
        <v>541</v>
      </c>
      <c r="F62" s="69" t="s">
        <v>666</v>
      </c>
      <c r="G62" s="93" t="s">
        <v>667</v>
      </c>
      <c r="H62" s="68" t="s">
        <v>668</v>
      </c>
      <c r="I62" s="27" t="s">
        <v>545</v>
      </c>
      <c r="J62" s="27" t="s">
        <v>765</v>
      </c>
    </row>
    <row r="63" spans="1:10" ht="76.5" hidden="1" x14ac:dyDescent="0.25">
      <c r="A63" s="91" t="s">
        <v>46</v>
      </c>
      <c r="B63" s="91" t="s">
        <v>78</v>
      </c>
      <c r="C63" s="91">
        <f>COUNTIF($B$15:B63,B63)</f>
        <v>4</v>
      </c>
      <c r="D63" s="91" t="str">
        <f>CONCATENATE(B63,"_",C63)</f>
        <v>Sante_4</v>
      </c>
      <c r="E63" s="94" t="s">
        <v>541</v>
      </c>
      <c r="F63" s="69" t="s">
        <v>669</v>
      </c>
      <c r="G63" s="93" t="s">
        <v>670</v>
      </c>
      <c r="H63" s="68" t="s">
        <v>671</v>
      </c>
      <c r="I63" s="27" t="s">
        <v>545</v>
      </c>
      <c r="J63" s="27" t="s">
        <v>768</v>
      </c>
    </row>
    <row r="64" spans="1:10" ht="63.75" x14ac:dyDescent="0.25">
      <c r="A64" s="91" t="s">
        <v>46</v>
      </c>
      <c r="B64" s="91" t="s">
        <v>78</v>
      </c>
      <c r="C64" s="91">
        <v>5</v>
      </c>
      <c r="D64" s="91" t="s">
        <v>309</v>
      </c>
      <c r="E64" s="94"/>
      <c r="F64" s="69" t="s">
        <v>672</v>
      </c>
      <c r="G64" s="93" t="s">
        <v>673</v>
      </c>
      <c r="H64" s="68" t="s">
        <v>447</v>
      </c>
      <c r="I64" s="27" t="s">
        <v>545</v>
      </c>
      <c r="J64" s="27" t="s">
        <v>765</v>
      </c>
    </row>
    <row r="65" spans="1:10" ht="140.25" x14ac:dyDescent="0.25">
      <c r="A65" s="91" t="s">
        <v>46</v>
      </c>
      <c r="B65" s="91" t="s">
        <v>78</v>
      </c>
      <c r="C65" s="91">
        <v>6</v>
      </c>
      <c r="D65" s="91" t="s">
        <v>310</v>
      </c>
      <c r="E65" s="94"/>
      <c r="F65" s="69" t="s">
        <v>674</v>
      </c>
      <c r="G65" s="93" t="s">
        <v>675</v>
      </c>
      <c r="H65" s="68" t="s">
        <v>448</v>
      </c>
      <c r="I65" s="27" t="s">
        <v>545</v>
      </c>
      <c r="J65" s="27" t="s">
        <v>765</v>
      </c>
    </row>
    <row r="66" spans="1:10" ht="114.75" x14ac:dyDescent="0.25">
      <c r="A66" s="91" t="s">
        <v>46</v>
      </c>
      <c r="B66" s="91" t="s">
        <v>78</v>
      </c>
      <c r="C66" s="91">
        <f>COUNTIF($B$15:B66,B66)</f>
        <v>7</v>
      </c>
      <c r="D66" s="91" t="str">
        <f t="shared" ref="D66:D83" si="1">CONCATENATE(B66,"_",C66)</f>
        <v>Sante_7</v>
      </c>
      <c r="E66" s="94" t="s">
        <v>541</v>
      </c>
      <c r="F66" s="69" t="s">
        <v>676</v>
      </c>
      <c r="G66" s="93" t="s">
        <v>677</v>
      </c>
      <c r="H66" s="69" t="s">
        <v>678</v>
      </c>
      <c r="I66" s="27" t="s">
        <v>545</v>
      </c>
      <c r="J66" s="27" t="s">
        <v>765</v>
      </c>
    </row>
    <row r="67" spans="1:10" ht="63.75" x14ac:dyDescent="0.25">
      <c r="A67" s="91" t="s">
        <v>46</v>
      </c>
      <c r="B67" s="91" t="s">
        <v>78</v>
      </c>
      <c r="C67" s="91">
        <v>9</v>
      </c>
      <c r="D67" s="91" t="str">
        <f t="shared" si="1"/>
        <v>Sante_9</v>
      </c>
      <c r="E67" s="94" t="s">
        <v>541</v>
      </c>
      <c r="F67" s="69" t="s">
        <v>679</v>
      </c>
      <c r="G67" s="93" t="s">
        <v>680</v>
      </c>
      <c r="H67" s="73" t="s">
        <v>629</v>
      </c>
      <c r="I67" s="27" t="s">
        <v>545</v>
      </c>
      <c r="J67" s="27" t="s">
        <v>765</v>
      </c>
    </row>
    <row r="68" spans="1:10" ht="38.25" hidden="1" x14ac:dyDescent="0.25">
      <c r="A68" s="91" t="s">
        <v>47</v>
      </c>
      <c r="B68" s="91" t="s">
        <v>79</v>
      </c>
      <c r="C68" s="91">
        <f>COUNTIF($B$15:B68,B68)</f>
        <v>1</v>
      </c>
      <c r="D68" s="91" t="str">
        <f t="shared" si="1"/>
        <v>Nut_1</v>
      </c>
      <c r="E68" s="94" t="s">
        <v>541</v>
      </c>
      <c r="F68" s="69" t="s">
        <v>681</v>
      </c>
      <c r="G68" s="93" t="s">
        <v>682</v>
      </c>
      <c r="H68" s="68" t="s">
        <v>683</v>
      </c>
      <c r="I68" s="27" t="s">
        <v>545</v>
      </c>
      <c r="J68" s="27" t="s">
        <v>768</v>
      </c>
    </row>
    <row r="69" spans="1:10" ht="38.25" hidden="1" x14ac:dyDescent="0.25">
      <c r="A69" s="91" t="s">
        <v>47</v>
      </c>
      <c r="B69" s="91" t="s">
        <v>79</v>
      </c>
      <c r="C69" s="91">
        <f>COUNTIF($B$15:B69,B69)</f>
        <v>2</v>
      </c>
      <c r="D69" s="91" t="str">
        <f t="shared" si="1"/>
        <v>Nut_2</v>
      </c>
      <c r="E69" s="94" t="s">
        <v>541</v>
      </c>
      <c r="F69" s="69" t="s">
        <v>684</v>
      </c>
      <c r="G69" s="93" t="s">
        <v>685</v>
      </c>
      <c r="H69" s="68" t="s">
        <v>686</v>
      </c>
      <c r="I69" s="27" t="s">
        <v>545</v>
      </c>
      <c r="J69" s="27" t="s">
        <v>768</v>
      </c>
    </row>
    <row r="70" spans="1:10" ht="63.75" x14ac:dyDescent="0.25">
      <c r="A70" s="91" t="s">
        <v>47</v>
      </c>
      <c r="B70" s="91" t="s">
        <v>79</v>
      </c>
      <c r="C70" s="91">
        <f>COUNTIF($B$15:B70,B70)</f>
        <v>3</v>
      </c>
      <c r="D70" s="91" t="str">
        <f t="shared" si="1"/>
        <v>Nut_3</v>
      </c>
      <c r="E70" s="94" t="s">
        <v>541</v>
      </c>
      <c r="F70" s="69" t="s">
        <v>687</v>
      </c>
      <c r="G70" s="93" t="s">
        <v>688</v>
      </c>
      <c r="H70" s="68" t="s">
        <v>689</v>
      </c>
      <c r="I70" s="27" t="s">
        <v>545</v>
      </c>
      <c r="J70" s="27" t="s">
        <v>765</v>
      </c>
    </row>
    <row r="71" spans="1:10" ht="38.25" hidden="1" x14ac:dyDescent="0.25">
      <c r="A71" s="91" t="s">
        <v>47</v>
      </c>
      <c r="B71" s="91" t="s">
        <v>79</v>
      </c>
      <c r="C71" s="91">
        <f>COUNTIF($B$15:B71,B71)</f>
        <v>4</v>
      </c>
      <c r="D71" s="91" t="str">
        <f t="shared" si="1"/>
        <v>Nut_4</v>
      </c>
      <c r="E71" s="94" t="s">
        <v>541</v>
      </c>
      <c r="F71" s="69" t="s">
        <v>690</v>
      </c>
      <c r="G71" s="93" t="s">
        <v>691</v>
      </c>
      <c r="H71" s="68" t="s">
        <v>692</v>
      </c>
      <c r="I71" s="27" t="s">
        <v>545</v>
      </c>
      <c r="J71" s="27" t="s">
        <v>768</v>
      </c>
    </row>
    <row r="72" spans="1:10" ht="89.25" hidden="1" x14ac:dyDescent="0.25">
      <c r="A72" s="91" t="s">
        <v>92</v>
      </c>
      <c r="B72" s="91" t="s">
        <v>81</v>
      </c>
      <c r="C72" s="91">
        <f>COUNTIF($B$15:B72,B72)</f>
        <v>1</v>
      </c>
      <c r="D72" s="91" t="str">
        <f t="shared" si="1"/>
        <v>Protec_1</v>
      </c>
      <c r="E72" s="92" t="s">
        <v>541</v>
      </c>
      <c r="F72" s="69" t="s">
        <v>693</v>
      </c>
      <c r="G72" s="93" t="s">
        <v>694</v>
      </c>
      <c r="H72" s="70" t="s">
        <v>695</v>
      </c>
      <c r="I72" s="27" t="s">
        <v>545</v>
      </c>
      <c r="J72" s="27" t="s">
        <v>768</v>
      </c>
    </row>
    <row r="73" spans="1:10" ht="242.25" hidden="1" x14ac:dyDescent="0.25">
      <c r="A73" s="91" t="s">
        <v>92</v>
      </c>
      <c r="B73" s="91" t="s">
        <v>81</v>
      </c>
      <c r="C73" s="91">
        <f>COUNTIF($B$15:B73,B73)</f>
        <v>2</v>
      </c>
      <c r="D73" s="91" t="str">
        <f t="shared" si="1"/>
        <v>Protec_2</v>
      </c>
      <c r="E73" s="94" t="s">
        <v>541</v>
      </c>
      <c r="F73" s="69" t="s">
        <v>696</v>
      </c>
      <c r="G73" s="93" t="s">
        <v>697</v>
      </c>
      <c r="H73" s="68" t="s">
        <v>438</v>
      </c>
      <c r="I73" s="27" t="s">
        <v>545</v>
      </c>
      <c r="J73" s="27" t="s">
        <v>768</v>
      </c>
    </row>
    <row r="74" spans="1:10" ht="242.25" hidden="1" x14ac:dyDescent="0.25">
      <c r="A74" s="91" t="s">
        <v>92</v>
      </c>
      <c r="B74" s="91" t="s">
        <v>81</v>
      </c>
      <c r="C74" s="91">
        <f>COUNTIF($B$15:B74,B74)</f>
        <v>3</v>
      </c>
      <c r="D74" s="91" t="str">
        <f t="shared" si="1"/>
        <v>Protec_3</v>
      </c>
      <c r="E74" s="94" t="s">
        <v>541</v>
      </c>
      <c r="F74" s="69" t="s">
        <v>698</v>
      </c>
      <c r="G74" s="93" t="s">
        <v>699</v>
      </c>
      <c r="H74" s="68" t="s">
        <v>438</v>
      </c>
      <c r="I74" s="27" t="s">
        <v>545</v>
      </c>
      <c r="J74" s="27" t="s">
        <v>768</v>
      </c>
    </row>
    <row r="75" spans="1:10" ht="51" hidden="1" x14ac:dyDescent="0.25">
      <c r="A75" s="91" t="s">
        <v>92</v>
      </c>
      <c r="B75" s="91" t="s">
        <v>81</v>
      </c>
      <c r="C75" s="91">
        <f>COUNTIF($B$15:B75,B75)</f>
        <v>4</v>
      </c>
      <c r="D75" s="91" t="str">
        <f t="shared" si="1"/>
        <v>Protec_4</v>
      </c>
      <c r="E75" s="94" t="s">
        <v>541</v>
      </c>
      <c r="F75" s="68" t="s">
        <v>700</v>
      </c>
      <c r="G75" s="98" t="s">
        <v>701</v>
      </c>
      <c r="H75" s="68" t="s">
        <v>123</v>
      </c>
      <c r="I75" s="79" t="s">
        <v>545</v>
      </c>
      <c r="J75" s="27" t="s">
        <v>768</v>
      </c>
    </row>
    <row r="76" spans="1:10" ht="280.5" x14ac:dyDescent="0.25">
      <c r="A76" s="91" t="s">
        <v>92</v>
      </c>
      <c r="B76" s="91" t="s">
        <v>81</v>
      </c>
      <c r="C76" s="91">
        <f>COUNTIF($B$15:B76,B76)</f>
        <v>5</v>
      </c>
      <c r="D76" s="91" t="str">
        <f t="shared" si="1"/>
        <v>Protec_5</v>
      </c>
      <c r="E76" s="94" t="s">
        <v>541</v>
      </c>
      <c r="F76" s="68" t="s">
        <v>702</v>
      </c>
      <c r="G76" s="98" t="s">
        <v>703</v>
      </c>
      <c r="H76" s="68" t="s">
        <v>704</v>
      </c>
      <c r="I76" s="79" t="s">
        <v>545</v>
      </c>
      <c r="J76" s="27" t="s">
        <v>763</v>
      </c>
    </row>
    <row r="77" spans="1:10" ht="38.25" hidden="1" x14ac:dyDescent="0.25">
      <c r="A77" s="91" t="s">
        <v>92</v>
      </c>
      <c r="B77" s="91" t="s">
        <v>81</v>
      </c>
      <c r="C77" s="91">
        <f>COUNTIF($B$15:B77,B77)</f>
        <v>6</v>
      </c>
      <c r="D77" s="91" t="str">
        <f t="shared" si="1"/>
        <v>Protec_6</v>
      </c>
      <c r="E77" s="94" t="s">
        <v>541</v>
      </c>
      <c r="F77" s="69" t="s">
        <v>705</v>
      </c>
      <c r="G77" s="93" t="s">
        <v>706</v>
      </c>
      <c r="H77" s="68" t="s">
        <v>707</v>
      </c>
      <c r="I77" s="27" t="s">
        <v>545</v>
      </c>
      <c r="J77" s="27" t="s">
        <v>768</v>
      </c>
    </row>
    <row r="78" spans="1:10" ht="140.25" x14ac:dyDescent="0.25">
      <c r="A78" s="91" t="s">
        <v>92</v>
      </c>
      <c r="B78" s="91" t="s">
        <v>81</v>
      </c>
      <c r="C78" s="91">
        <f>COUNTIF($B$15:B78,B78)</f>
        <v>7</v>
      </c>
      <c r="D78" s="91" t="str">
        <f t="shared" si="1"/>
        <v>Protec_7</v>
      </c>
      <c r="E78" s="94" t="s">
        <v>541</v>
      </c>
      <c r="F78" s="69" t="s">
        <v>708</v>
      </c>
      <c r="G78" s="93" t="s">
        <v>709</v>
      </c>
      <c r="H78" s="68" t="s">
        <v>351</v>
      </c>
      <c r="I78" s="27" t="s">
        <v>545</v>
      </c>
      <c r="J78" s="27" t="s">
        <v>763</v>
      </c>
    </row>
    <row r="79" spans="1:10" ht="76.5" x14ac:dyDescent="0.25">
      <c r="A79" s="91" t="s">
        <v>92</v>
      </c>
      <c r="B79" s="91" t="s">
        <v>81</v>
      </c>
      <c r="C79" s="91">
        <f>COUNTIF($B$15:B79,B79)</f>
        <v>8</v>
      </c>
      <c r="D79" s="91" t="str">
        <f t="shared" si="1"/>
        <v>Protec_8</v>
      </c>
      <c r="E79" s="94" t="s">
        <v>541</v>
      </c>
      <c r="F79" s="69" t="s">
        <v>710</v>
      </c>
      <c r="G79" s="93" t="s">
        <v>711</v>
      </c>
      <c r="H79" s="68" t="s">
        <v>712</v>
      </c>
      <c r="I79" s="27" t="s">
        <v>545</v>
      </c>
      <c r="J79" s="27" t="s">
        <v>765</v>
      </c>
    </row>
    <row r="80" spans="1:10" ht="63.75" hidden="1" x14ac:dyDescent="0.25">
      <c r="A80" s="91" t="s">
        <v>92</v>
      </c>
      <c r="B80" s="91" t="s">
        <v>81</v>
      </c>
      <c r="C80" s="91">
        <f>COUNTIF($B$15:B80,B80)</f>
        <v>9</v>
      </c>
      <c r="D80" s="91" t="str">
        <f t="shared" si="1"/>
        <v>Protec_9</v>
      </c>
      <c r="E80" s="94" t="s">
        <v>541</v>
      </c>
      <c r="F80" s="69" t="s">
        <v>713</v>
      </c>
      <c r="G80" s="93" t="s">
        <v>714</v>
      </c>
      <c r="H80" s="68" t="s">
        <v>715</v>
      </c>
      <c r="I80" s="27" t="s">
        <v>545</v>
      </c>
      <c r="J80" s="27" t="s">
        <v>768</v>
      </c>
    </row>
    <row r="81" spans="1:10" ht="51" hidden="1" x14ac:dyDescent="0.25">
      <c r="A81" s="91" t="s">
        <v>92</v>
      </c>
      <c r="B81" s="91" t="s">
        <v>81</v>
      </c>
      <c r="C81" s="91">
        <f>COUNTIF($B$15:B81,B81)</f>
        <v>10</v>
      </c>
      <c r="D81" s="91" t="str">
        <f t="shared" si="1"/>
        <v>Protec_10</v>
      </c>
      <c r="E81" s="94" t="s">
        <v>541</v>
      </c>
      <c r="F81" s="70" t="s">
        <v>716</v>
      </c>
      <c r="G81" s="93" t="s">
        <v>717</v>
      </c>
      <c r="H81" s="70" t="s">
        <v>61</v>
      </c>
      <c r="I81" s="27" t="s">
        <v>545</v>
      </c>
      <c r="J81" s="27" t="s">
        <v>768</v>
      </c>
    </row>
    <row r="82" spans="1:10" ht="63.75" x14ac:dyDescent="0.25">
      <c r="A82" s="91" t="s">
        <v>92</v>
      </c>
      <c r="B82" s="91" t="s">
        <v>81</v>
      </c>
      <c r="C82" s="91">
        <f>COUNTIF($B$15:B82,B82)</f>
        <v>11</v>
      </c>
      <c r="D82" s="91" t="str">
        <f t="shared" si="1"/>
        <v>Protec_11</v>
      </c>
      <c r="E82" s="94" t="s">
        <v>541</v>
      </c>
      <c r="F82" s="70" t="s">
        <v>718</v>
      </c>
      <c r="G82" s="93" t="s">
        <v>719</v>
      </c>
      <c r="H82" s="70" t="s">
        <v>720</v>
      </c>
      <c r="I82" s="27" t="s">
        <v>545</v>
      </c>
      <c r="J82" s="27" t="s">
        <v>765</v>
      </c>
    </row>
    <row r="83" spans="1:10" ht="102" x14ac:dyDescent="0.25">
      <c r="A83" s="91" t="s">
        <v>92</v>
      </c>
      <c r="B83" s="91" t="s">
        <v>81</v>
      </c>
      <c r="C83" s="91">
        <f>COUNTIF($B$15:B83,B83)</f>
        <v>12</v>
      </c>
      <c r="D83" s="91" t="str">
        <f t="shared" si="1"/>
        <v>Protec_12</v>
      </c>
      <c r="E83" s="94" t="s">
        <v>541</v>
      </c>
      <c r="F83" s="70" t="s">
        <v>721</v>
      </c>
      <c r="G83" s="93" t="s">
        <v>722</v>
      </c>
      <c r="H83" s="70" t="s">
        <v>723</v>
      </c>
      <c r="I83" s="27" t="s">
        <v>545</v>
      </c>
      <c r="J83" s="27" t="s">
        <v>765</v>
      </c>
    </row>
    <row r="84" spans="1:10" ht="38.25" x14ac:dyDescent="0.25">
      <c r="A84" s="99" t="s">
        <v>53</v>
      </c>
      <c r="B84" s="99" t="s">
        <v>80</v>
      </c>
      <c r="C84" s="99">
        <v>1</v>
      </c>
      <c r="D84" s="99" t="s">
        <v>724</v>
      </c>
      <c r="E84" s="69"/>
      <c r="F84" s="100" t="s">
        <v>725</v>
      </c>
      <c r="G84" s="101" t="s">
        <v>726</v>
      </c>
      <c r="H84" s="102" t="s">
        <v>683</v>
      </c>
      <c r="I84" s="103" t="s">
        <v>545</v>
      </c>
      <c r="J84" s="27" t="s">
        <v>765</v>
      </c>
    </row>
    <row r="85" spans="1:10" ht="140.25" x14ac:dyDescent="0.25">
      <c r="A85" s="91" t="s">
        <v>53</v>
      </c>
      <c r="B85" s="91" t="s">
        <v>80</v>
      </c>
      <c r="C85" s="91">
        <f>COUNTIF($B$15:B85,B85)</f>
        <v>2</v>
      </c>
      <c r="D85" s="91" t="str">
        <f t="shared" ref="D85:D95" si="2">CONCATENATE(B85,"_",C85)</f>
        <v>Educ_2</v>
      </c>
      <c r="E85" s="92" t="s">
        <v>541</v>
      </c>
      <c r="F85" s="69" t="s">
        <v>727</v>
      </c>
      <c r="G85" s="93" t="s">
        <v>728</v>
      </c>
      <c r="H85" s="69" t="s">
        <v>729</v>
      </c>
      <c r="I85" s="27" t="s">
        <v>545</v>
      </c>
      <c r="J85" s="27" t="s">
        <v>765</v>
      </c>
    </row>
    <row r="86" spans="1:10" ht="63.75" x14ac:dyDescent="0.25">
      <c r="A86" s="91" t="s">
        <v>53</v>
      </c>
      <c r="B86" s="104" t="s">
        <v>80</v>
      </c>
      <c r="C86" s="91">
        <f>COUNTIF($B$15:B86,B86)</f>
        <v>3</v>
      </c>
      <c r="D86" s="91" t="str">
        <f t="shared" si="2"/>
        <v>Educ_3</v>
      </c>
      <c r="E86" s="94" t="s">
        <v>541</v>
      </c>
      <c r="F86" s="69" t="s">
        <v>730</v>
      </c>
      <c r="G86" s="93" t="s">
        <v>731</v>
      </c>
      <c r="H86" s="68" t="s">
        <v>732</v>
      </c>
      <c r="I86" s="27" t="s">
        <v>545</v>
      </c>
      <c r="J86" s="27" t="s">
        <v>765</v>
      </c>
    </row>
    <row r="87" spans="1:10" ht="63.75" x14ac:dyDescent="0.25">
      <c r="A87" s="91" t="s">
        <v>53</v>
      </c>
      <c r="B87" s="104" t="s">
        <v>80</v>
      </c>
      <c r="C87" s="91">
        <f>COUNTIF($B$15:B87,B87)</f>
        <v>4</v>
      </c>
      <c r="D87" s="91" t="str">
        <f t="shared" si="2"/>
        <v>Educ_4</v>
      </c>
      <c r="E87" s="94" t="s">
        <v>541</v>
      </c>
      <c r="F87" s="69" t="s">
        <v>733</v>
      </c>
      <c r="G87" s="93" t="s">
        <v>734</v>
      </c>
      <c r="H87" s="68" t="s">
        <v>735</v>
      </c>
      <c r="I87" s="27" t="s">
        <v>545</v>
      </c>
      <c r="J87" s="27" t="s">
        <v>765</v>
      </c>
    </row>
    <row r="88" spans="1:10" ht="63.75" x14ac:dyDescent="0.25">
      <c r="A88" s="91" t="s">
        <v>53</v>
      </c>
      <c r="B88" s="104" t="s">
        <v>80</v>
      </c>
      <c r="C88" s="91">
        <f>COUNTIF($B$15:B88,B88)</f>
        <v>5</v>
      </c>
      <c r="D88" s="91" t="str">
        <f t="shared" si="2"/>
        <v>Educ_5</v>
      </c>
      <c r="E88" s="94" t="s">
        <v>541</v>
      </c>
      <c r="F88" s="69" t="s">
        <v>736</v>
      </c>
      <c r="G88" s="93" t="s">
        <v>737</v>
      </c>
      <c r="H88" s="68" t="s">
        <v>738</v>
      </c>
      <c r="I88" s="27" t="s">
        <v>545</v>
      </c>
      <c r="J88" s="27" t="s">
        <v>765</v>
      </c>
    </row>
    <row r="89" spans="1:10" ht="63.75" x14ac:dyDescent="0.25">
      <c r="A89" s="91" t="s">
        <v>53</v>
      </c>
      <c r="B89" s="104" t="s">
        <v>80</v>
      </c>
      <c r="C89" s="91">
        <f>COUNTIF($B$15:B89,B89)</f>
        <v>6</v>
      </c>
      <c r="D89" s="91" t="str">
        <f t="shared" si="2"/>
        <v>Educ_6</v>
      </c>
      <c r="E89" s="94" t="s">
        <v>541</v>
      </c>
      <c r="F89" s="69" t="s">
        <v>739</v>
      </c>
      <c r="G89" s="93" t="s">
        <v>740</v>
      </c>
      <c r="H89" s="68" t="s">
        <v>741</v>
      </c>
      <c r="I89" s="27" t="s">
        <v>545</v>
      </c>
      <c r="J89" s="27" t="s">
        <v>765</v>
      </c>
    </row>
    <row r="90" spans="1:10" ht="344.25" x14ac:dyDescent="0.25">
      <c r="A90" s="91" t="s">
        <v>53</v>
      </c>
      <c r="B90" s="91" t="s">
        <v>80</v>
      </c>
      <c r="C90" s="91">
        <f>COUNTIF($B$15:B90,B90)</f>
        <v>7</v>
      </c>
      <c r="D90" s="91" t="str">
        <f t="shared" si="2"/>
        <v>Educ_7</v>
      </c>
      <c r="E90" s="94" t="s">
        <v>541</v>
      </c>
      <c r="F90" s="69" t="s">
        <v>742</v>
      </c>
      <c r="G90" s="93" t="s">
        <v>743</v>
      </c>
      <c r="H90" s="68" t="s">
        <v>744</v>
      </c>
      <c r="I90" s="27" t="s">
        <v>545</v>
      </c>
      <c r="J90" s="27" t="s">
        <v>765</v>
      </c>
    </row>
    <row r="91" spans="1:10" ht="255" x14ac:dyDescent="0.25">
      <c r="A91" s="91" t="s">
        <v>53</v>
      </c>
      <c r="B91" s="91" t="s">
        <v>80</v>
      </c>
      <c r="C91" s="91">
        <f>COUNTIF($B$15:B91,B91)</f>
        <v>8</v>
      </c>
      <c r="D91" s="91" t="str">
        <f t="shared" si="2"/>
        <v>Educ_8</v>
      </c>
      <c r="E91" s="94" t="s">
        <v>541</v>
      </c>
      <c r="F91" s="69" t="s">
        <v>745</v>
      </c>
      <c r="G91" s="93" t="s">
        <v>746</v>
      </c>
      <c r="H91" s="69" t="s">
        <v>747</v>
      </c>
      <c r="I91" s="27" t="s">
        <v>545</v>
      </c>
      <c r="J91" s="27" t="s">
        <v>765</v>
      </c>
    </row>
    <row r="92" spans="1:10" ht="140.25" x14ac:dyDescent="0.25">
      <c r="A92" s="91" t="s">
        <v>63</v>
      </c>
      <c r="B92" s="91" t="s">
        <v>63</v>
      </c>
      <c r="C92" s="91">
        <f>COUNTIF($B$15:B92,B92)</f>
        <v>1</v>
      </c>
      <c r="D92" s="91" t="str">
        <f t="shared" si="2"/>
        <v>AAP_1</v>
      </c>
      <c r="E92" s="94" t="s">
        <v>541</v>
      </c>
      <c r="F92" s="68" t="s">
        <v>748</v>
      </c>
      <c r="G92" s="93" t="s">
        <v>749</v>
      </c>
      <c r="H92" s="73" t="s">
        <v>750</v>
      </c>
      <c r="I92" s="27" t="s">
        <v>545</v>
      </c>
      <c r="J92" s="27" t="s">
        <v>765</v>
      </c>
    </row>
    <row r="93" spans="1:10" ht="382.5" x14ac:dyDescent="0.25">
      <c r="A93" s="91" t="s">
        <v>63</v>
      </c>
      <c r="B93" s="91" t="s">
        <v>63</v>
      </c>
      <c r="C93" s="91">
        <f>COUNTIF($B$15:B93,B93)</f>
        <v>2</v>
      </c>
      <c r="D93" s="91" t="str">
        <f t="shared" si="2"/>
        <v>AAP_2</v>
      </c>
      <c r="E93" s="94" t="s">
        <v>541</v>
      </c>
      <c r="F93" s="68" t="s">
        <v>751</v>
      </c>
      <c r="G93" s="93" t="s">
        <v>752</v>
      </c>
      <c r="H93" s="73" t="s">
        <v>753</v>
      </c>
      <c r="I93" s="27" t="s">
        <v>545</v>
      </c>
      <c r="J93" s="27" t="s">
        <v>763</v>
      </c>
    </row>
    <row r="94" spans="1:10" ht="229.5" x14ac:dyDescent="0.25">
      <c r="A94" s="91" t="s">
        <v>63</v>
      </c>
      <c r="B94" s="91" t="s">
        <v>63</v>
      </c>
      <c r="C94" s="91">
        <f>COUNTIF($B$15:B94,B94)</f>
        <v>3</v>
      </c>
      <c r="D94" s="91" t="str">
        <f t="shared" si="2"/>
        <v>AAP_3</v>
      </c>
      <c r="E94" s="94" t="s">
        <v>541</v>
      </c>
      <c r="F94" s="68" t="s">
        <v>754</v>
      </c>
      <c r="G94" s="93" t="s">
        <v>755</v>
      </c>
      <c r="H94" s="73" t="s">
        <v>756</v>
      </c>
      <c r="I94" s="27" t="s">
        <v>545</v>
      </c>
      <c r="J94" s="27" t="s">
        <v>765</v>
      </c>
    </row>
    <row r="95" spans="1:10" ht="127.5" x14ac:dyDescent="0.25">
      <c r="A95" s="91" t="s">
        <v>63</v>
      </c>
      <c r="B95" s="91" t="s">
        <v>63</v>
      </c>
      <c r="C95" s="91">
        <f>COUNTIF($B$15:B95,B95)</f>
        <v>4</v>
      </c>
      <c r="D95" s="91" t="str">
        <f t="shared" si="2"/>
        <v>AAP_4</v>
      </c>
      <c r="E95" s="105" t="s">
        <v>541</v>
      </c>
      <c r="F95" s="68" t="s">
        <v>757</v>
      </c>
      <c r="G95" s="93" t="s">
        <v>758</v>
      </c>
      <c r="H95" s="73" t="s">
        <v>759</v>
      </c>
      <c r="I95" s="27" t="s">
        <v>545</v>
      </c>
      <c r="J95" s="27" t="s">
        <v>763</v>
      </c>
    </row>
    <row r="96" spans="1:10" x14ac:dyDescent="0.3">
      <c r="A96" s="106"/>
      <c r="B96" s="106"/>
      <c r="C96" s="106"/>
      <c r="D96" s="106"/>
      <c r="E96" s="106"/>
      <c r="F96" s="106"/>
      <c r="G96" s="106"/>
      <c r="H96" s="106"/>
      <c r="I96" s="106"/>
    </row>
    <row r="97" spans="1:9" x14ac:dyDescent="0.3">
      <c r="A97" s="106"/>
      <c r="B97" s="106"/>
      <c r="C97" s="106"/>
      <c r="D97" s="106"/>
      <c r="E97" s="106"/>
      <c r="F97" s="106"/>
      <c r="G97" s="106"/>
      <c r="H97" s="106"/>
      <c r="I97" s="106"/>
    </row>
    <row r="98" spans="1:9" x14ac:dyDescent="0.3">
      <c r="A98" s="106"/>
      <c r="B98" s="106"/>
      <c r="C98" s="106"/>
      <c r="D98" s="106"/>
      <c r="E98" s="106"/>
      <c r="F98" s="106"/>
      <c r="G98" s="106"/>
      <c r="H98" s="106"/>
      <c r="I98" s="106"/>
    </row>
    <row r="99" spans="1:9" x14ac:dyDescent="0.3">
      <c r="A99" s="106"/>
      <c r="B99" s="106"/>
      <c r="C99" s="106"/>
      <c r="D99" s="106"/>
      <c r="E99" s="106"/>
      <c r="F99" s="106"/>
      <c r="G99" s="106"/>
      <c r="H99" s="106"/>
      <c r="I99" s="106"/>
    </row>
    <row r="100" spans="1:9" x14ac:dyDescent="0.3">
      <c r="A100" s="106"/>
      <c r="B100" s="106"/>
      <c r="C100" s="106"/>
      <c r="D100" s="106"/>
      <c r="E100" s="106"/>
      <c r="F100" s="106"/>
      <c r="G100" s="106"/>
      <c r="H100" s="106"/>
      <c r="I100" s="106"/>
    </row>
    <row r="101" spans="1:9" x14ac:dyDescent="0.3">
      <c r="A101" s="106"/>
      <c r="B101" s="106"/>
      <c r="C101" s="106"/>
      <c r="D101" s="106"/>
      <c r="E101" s="106"/>
      <c r="F101" s="106"/>
      <c r="G101" s="106"/>
      <c r="H101" s="106"/>
      <c r="I101" s="106"/>
    </row>
    <row r="102" spans="1:9" x14ac:dyDescent="0.3">
      <c r="A102" s="106"/>
      <c r="B102" s="106"/>
      <c r="C102" s="106"/>
      <c r="D102" s="106"/>
      <c r="E102" s="106"/>
      <c r="F102" s="106"/>
      <c r="G102" s="106"/>
      <c r="H102" s="106"/>
      <c r="I102" s="106"/>
    </row>
    <row r="103" spans="1:9" x14ac:dyDescent="0.3">
      <c r="A103" s="106"/>
      <c r="B103" s="106"/>
      <c r="C103" s="106"/>
      <c r="D103" s="106"/>
      <c r="E103" s="106"/>
      <c r="F103" s="106"/>
      <c r="G103" s="106"/>
      <c r="H103" s="106"/>
      <c r="I103" s="106"/>
    </row>
    <row r="104" spans="1:9" x14ac:dyDescent="0.3">
      <c r="A104" s="106"/>
      <c r="B104" s="106"/>
      <c r="C104" s="106"/>
      <c r="D104" s="106"/>
      <c r="E104" s="106"/>
      <c r="F104" s="106"/>
      <c r="G104" s="106"/>
      <c r="H104" s="106"/>
      <c r="I104" s="106"/>
    </row>
    <row r="105" spans="1:9" x14ac:dyDescent="0.3">
      <c r="A105" s="106"/>
      <c r="B105" s="106"/>
      <c r="C105" s="106"/>
      <c r="D105" s="106"/>
      <c r="E105" s="106"/>
      <c r="F105" s="106"/>
      <c r="G105" s="106"/>
      <c r="H105" s="106"/>
      <c r="I105" s="106"/>
    </row>
    <row r="106" spans="1:9" x14ac:dyDescent="0.3">
      <c r="A106" s="106"/>
      <c r="B106" s="106"/>
      <c r="C106" s="106"/>
      <c r="D106" s="106"/>
      <c r="E106" s="106"/>
      <c r="F106" s="106"/>
      <c r="G106" s="106"/>
      <c r="H106" s="106"/>
      <c r="I106" s="106"/>
    </row>
    <row r="107" spans="1:9" x14ac:dyDescent="0.3">
      <c r="A107" s="106"/>
      <c r="B107" s="106"/>
      <c r="C107" s="106"/>
      <c r="D107" s="106"/>
      <c r="E107" s="106"/>
      <c r="F107" s="106"/>
      <c r="G107" s="106"/>
      <c r="H107" s="106"/>
      <c r="I107" s="106"/>
    </row>
    <row r="108" spans="1:9" x14ac:dyDescent="0.3">
      <c r="A108" s="106"/>
      <c r="B108" s="106"/>
      <c r="C108" s="106"/>
      <c r="D108" s="106"/>
      <c r="E108" s="106"/>
      <c r="F108" s="106"/>
      <c r="G108" s="106"/>
      <c r="H108" s="106"/>
      <c r="I108" s="106"/>
    </row>
    <row r="109" spans="1:9" x14ac:dyDescent="0.3">
      <c r="A109" s="106"/>
      <c r="B109" s="106"/>
      <c r="C109" s="106"/>
      <c r="D109" s="106"/>
      <c r="E109" s="106"/>
      <c r="F109" s="106"/>
      <c r="G109" s="106"/>
      <c r="H109" s="106"/>
      <c r="I109" s="106"/>
    </row>
    <row r="110" spans="1:9" x14ac:dyDescent="0.3">
      <c r="A110" s="106"/>
      <c r="E110" s="106"/>
      <c r="F110" s="106"/>
      <c r="G110" s="106"/>
      <c r="H110" s="106"/>
      <c r="I110" s="106"/>
    </row>
    <row r="111" spans="1:9" x14ac:dyDescent="0.3">
      <c r="A111" s="106"/>
      <c r="E111" s="106"/>
      <c r="F111" s="106"/>
      <c r="G111" s="106"/>
      <c r="H111" s="106"/>
      <c r="I111" s="106"/>
    </row>
    <row r="112" spans="1:9" x14ac:dyDescent="0.3">
      <c r="A112" s="106"/>
      <c r="E112" s="106"/>
      <c r="F112" s="106"/>
      <c r="G112" s="106"/>
      <c r="H112" s="106"/>
      <c r="I112" s="106"/>
    </row>
    <row r="113" spans="1:9" x14ac:dyDescent="0.3">
      <c r="A113" s="106"/>
      <c r="E113" s="106"/>
      <c r="F113" s="106"/>
      <c r="G113" s="106"/>
      <c r="H113" s="106"/>
      <c r="I113" s="106"/>
    </row>
    <row r="114" spans="1:9" x14ac:dyDescent="0.3">
      <c r="A114" s="106"/>
      <c r="E114" s="106"/>
      <c r="F114" s="106"/>
      <c r="G114" s="106"/>
      <c r="H114" s="106"/>
      <c r="I114" s="106"/>
    </row>
    <row r="115" spans="1:9" x14ac:dyDescent="0.3">
      <c r="A115" s="106"/>
      <c r="E115" s="106"/>
      <c r="F115" s="106"/>
      <c r="G115" s="106"/>
      <c r="H115" s="106"/>
      <c r="I115" s="106"/>
    </row>
    <row r="116" spans="1:9" x14ac:dyDescent="0.3">
      <c r="A116" s="106"/>
      <c r="E116" s="106"/>
      <c r="F116" s="106"/>
      <c r="G116" s="106"/>
      <c r="H116" s="106"/>
      <c r="I116" s="106"/>
    </row>
    <row r="117" spans="1:9" x14ac:dyDescent="0.3">
      <c r="A117" s="106"/>
      <c r="E117" s="106"/>
      <c r="F117" s="106"/>
      <c r="G117" s="106"/>
      <c r="H117" s="106"/>
      <c r="I117" s="106"/>
    </row>
    <row r="118" spans="1:9" x14ac:dyDescent="0.3">
      <c r="A118" s="106"/>
      <c r="E118" s="106"/>
      <c r="F118" s="106"/>
      <c r="G118" s="106"/>
      <c r="H118" s="106"/>
      <c r="I118" s="106"/>
    </row>
    <row r="119" spans="1:9" x14ac:dyDescent="0.3">
      <c r="A119" s="106"/>
      <c r="E119" s="106"/>
      <c r="F119" s="106"/>
      <c r="G119" s="106"/>
      <c r="H119" s="106"/>
      <c r="I119" s="106"/>
    </row>
    <row r="120" spans="1:9" x14ac:dyDescent="0.3">
      <c r="A120" s="106"/>
      <c r="E120" s="106"/>
      <c r="F120" s="106"/>
      <c r="G120" s="106"/>
      <c r="H120" s="106"/>
      <c r="I120" s="106"/>
    </row>
    <row r="121" spans="1:9" x14ac:dyDescent="0.3">
      <c r="A121" s="106"/>
      <c r="E121" s="106"/>
      <c r="F121" s="106"/>
      <c r="G121" s="106"/>
      <c r="H121" s="106"/>
      <c r="I121" s="106"/>
    </row>
    <row r="122" spans="1:9" x14ac:dyDescent="0.3">
      <c r="A122" s="106"/>
      <c r="E122" s="106"/>
      <c r="F122" s="106"/>
      <c r="G122" s="106"/>
      <c r="H122" s="106"/>
      <c r="I122" s="106"/>
    </row>
    <row r="123" spans="1:9" x14ac:dyDescent="0.3">
      <c r="A123" s="106"/>
      <c r="E123" s="106"/>
      <c r="F123" s="106"/>
      <c r="G123" s="106"/>
      <c r="H123" s="106"/>
      <c r="I123" s="106"/>
    </row>
    <row r="124" spans="1:9" x14ac:dyDescent="0.3">
      <c r="A124" s="106"/>
      <c r="E124" s="106"/>
      <c r="F124" s="106"/>
      <c r="G124" s="106"/>
      <c r="H124" s="106"/>
      <c r="I124" s="106"/>
    </row>
    <row r="125" spans="1:9" x14ac:dyDescent="0.3">
      <c r="A125" s="106"/>
      <c r="E125" s="106"/>
      <c r="F125" s="106"/>
      <c r="G125" s="106"/>
      <c r="H125" s="106"/>
      <c r="I125" s="106"/>
    </row>
    <row r="126" spans="1:9" x14ac:dyDescent="0.3">
      <c r="A126" s="106"/>
      <c r="E126" s="106"/>
      <c r="F126" s="106"/>
      <c r="G126" s="106"/>
      <c r="H126" s="106"/>
      <c r="I126" s="106"/>
    </row>
    <row r="127" spans="1:9" x14ac:dyDescent="0.3">
      <c r="A127" s="106"/>
      <c r="E127" s="106"/>
      <c r="F127" s="106"/>
      <c r="G127" s="106"/>
      <c r="H127" s="106"/>
      <c r="I127" s="106"/>
    </row>
    <row r="128" spans="1:9" x14ac:dyDescent="0.3">
      <c r="A128" s="106"/>
      <c r="E128" s="106"/>
      <c r="F128" s="106"/>
      <c r="G128" s="106"/>
      <c r="H128" s="106"/>
      <c r="I128" s="106"/>
    </row>
    <row r="129" spans="1:9" x14ac:dyDescent="0.3">
      <c r="A129" s="106"/>
      <c r="E129" s="106"/>
      <c r="F129" s="106"/>
      <c r="G129" s="106"/>
      <c r="H129" s="106"/>
      <c r="I129" s="106"/>
    </row>
    <row r="130" spans="1:9" x14ac:dyDescent="0.3">
      <c r="A130" s="106"/>
      <c r="E130" s="106"/>
      <c r="F130" s="106"/>
      <c r="G130" s="106"/>
      <c r="H130" s="106"/>
      <c r="I130" s="106"/>
    </row>
    <row r="131" spans="1:9" x14ac:dyDescent="0.3">
      <c r="A131" s="106"/>
      <c r="E131" s="106"/>
      <c r="F131" s="106"/>
      <c r="G131" s="106"/>
      <c r="H131" s="106"/>
      <c r="I131" s="106"/>
    </row>
    <row r="132" spans="1:9" x14ac:dyDescent="0.3">
      <c r="A132" s="106"/>
      <c r="E132" s="106"/>
      <c r="F132" s="106"/>
      <c r="G132" s="106"/>
      <c r="H132" s="106"/>
      <c r="I132" s="106"/>
    </row>
    <row r="133" spans="1:9" x14ac:dyDescent="0.3">
      <c r="A133" s="106"/>
      <c r="E133" s="106"/>
      <c r="F133" s="106"/>
      <c r="G133" s="106"/>
      <c r="H133" s="106"/>
      <c r="I133" s="106"/>
    </row>
    <row r="134" spans="1:9" x14ac:dyDescent="0.3">
      <c r="A134" s="106"/>
      <c r="E134" s="106"/>
      <c r="F134" s="106"/>
      <c r="G134" s="106"/>
      <c r="H134" s="106"/>
      <c r="I134" s="106"/>
    </row>
    <row r="135" spans="1:9" x14ac:dyDescent="0.3">
      <c r="A135" s="106"/>
      <c r="E135" s="106"/>
      <c r="F135" s="106"/>
      <c r="G135" s="106"/>
      <c r="H135" s="106"/>
      <c r="I135" s="106"/>
    </row>
    <row r="136" spans="1:9" x14ac:dyDescent="0.3">
      <c r="A136" s="106"/>
      <c r="E136" s="106"/>
      <c r="F136" s="106"/>
      <c r="G136" s="106"/>
      <c r="H136" s="106"/>
      <c r="I136" s="106"/>
    </row>
    <row r="137" spans="1:9" x14ac:dyDescent="0.3">
      <c r="A137" s="106"/>
      <c r="E137" s="106"/>
      <c r="F137" s="106"/>
      <c r="G137" s="106"/>
      <c r="H137" s="106"/>
      <c r="I137" s="106"/>
    </row>
    <row r="138" spans="1:9" x14ac:dyDescent="0.3">
      <c r="A138" s="106"/>
      <c r="E138" s="106"/>
      <c r="F138" s="106"/>
      <c r="G138" s="106"/>
      <c r="H138" s="106"/>
      <c r="I138" s="106"/>
    </row>
    <row r="139" spans="1:9" x14ac:dyDescent="0.3">
      <c r="A139" s="106"/>
      <c r="E139" s="106"/>
      <c r="F139" s="106"/>
      <c r="G139" s="106"/>
      <c r="H139" s="106"/>
      <c r="I139" s="106"/>
    </row>
    <row r="140" spans="1:9" x14ac:dyDescent="0.3">
      <c r="A140" s="106"/>
      <c r="E140" s="106"/>
      <c r="F140" s="106"/>
      <c r="G140" s="106"/>
      <c r="H140" s="106"/>
      <c r="I140" s="106"/>
    </row>
    <row r="141" spans="1:9" x14ac:dyDescent="0.3">
      <c r="A141" s="106"/>
      <c r="E141" s="106"/>
      <c r="F141" s="106"/>
      <c r="G141" s="106"/>
      <c r="H141" s="106"/>
      <c r="I141" s="106"/>
    </row>
    <row r="142" spans="1:9" x14ac:dyDescent="0.3">
      <c r="A142" s="106"/>
      <c r="E142" s="106"/>
      <c r="F142" s="106"/>
      <c r="G142" s="106"/>
      <c r="H142" s="106"/>
      <c r="I142" s="106"/>
    </row>
    <row r="143" spans="1:9" x14ac:dyDescent="0.3">
      <c r="A143" s="106"/>
      <c r="E143" s="106"/>
      <c r="F143" s="106"/>
      <c r="G143" s="106"/>
      <c r="H143" s="106"/>
      <c r="I143" s="106"/>
    </row>
    <row r="144" spans="1:9" x14ac:dyDescent="0.3">
      <c r="A144" s="106"/>
      <c r="E144" s="106"/>
      <c r="F144" s="106"/>
      <c r="G144" s="106"/>
      <c r="H144" s="106"/>
      <c r="I144" s="106"/>
    </row>
    <row r="145" spans="1:9" x14ac:dyDescent="0.3">
      <c r="A145" s="106"/>
      <c r="E145" s="106"/>
      <c r="F145" s="106"/>
      <c r="G145" s="106"/>
      <c r="H145" s="106"/>
      <c r="I145" s="106"/>
    </row>
    <row r="146" spans="1:9" x14ac:dyDescent="0.3">
      <c r="A146" s="106"/>
      <c r="E146" s="106"/>
      <c r="F146" s="106"/>
      <c r="G146" s="106"/>
      <c r="H146" s="106"/>
      <c r="I146" s="106"/>
    </row>
    <row r="147" spans="1:9" x14ac:dyDescent="0.3">
      <c r="A147" s="106"/>
      <c r="E147" s="106"/>
      <c r="F147" s="106"/>
      <c r="G147" s="106"/>
      <c r="H147" s="106"/>
      <c r="I147" s="106"/>
    </row>
    <row r="148" spans="1:9" x14ac:dyDescent="0.3">
      <c r="A148" s="106"/>
      <c r="E148" s="106"/>
      <c r="F148" s="106"/>
      <c r="G148" s="106"/>
      <c r="H148" s="106"/>
      <c r="I148" s="106"/>
    </row>
    <row r="149" spans="1:9" x14ac:dyDescent="0.3">
      <c r="A149" s="106"/>
      <c r="E149" s="106"/>
      <c r="F149" s="106"/>
      <c r="G149" s="106"/>
      <c r="H149" s="106"/>
      <c r="I149" s="106"/>
    </row>
    <row r="150" spans="1:9" x14ac:dyDescent="0.3">
      <c r="A150" s="106"/>
      <c r="E150" s="106"/>
      <c r="F150" s="106"/>
      <c r="G150" s="106"/>
      <c r="H150" s="106"/>
      <c r="I150" s="106"/>
    </row>
    <row r="151" spans="1:9" x14ac:dyDescent="0.3">
      <c r="A151" s="106"/>
      <c r="E151" s="106"/>
      <c r="F151" s="106"/>
      <c r="G151" s="106"/>
      <c r="H151" s="106"/>
      <c r="I151" s="106"/>
    </row>
    <row r="152" spans="1:9" x14ac:dyDescent="0.3">
      <c r="A152" s="106"/>
      <c r="E152" s="106"/>
      <c r="F152" s="106"/>
      <c r="G152" s="106"/>
      <c r="H152" s="106"/>
      <c r="I152" s="106"/>
    </row>
    <row r="153" spans="1:9" x14ac:dyDescent="0.3">
      <c r="A153" s="106"/>
      <c r="E153" s="106"/>
      <c r="F153" s="106"/>
      <c r="G153" s="106"/>
      <c r="H153" s="106"/>
      <c r="I153" s="106"/>
    </row>
    <row r="154" spans="1:9" x14ac:dyDescent="0.3">
      <c r="A154" s="106"/>
      <c r="E154" s="106"/>
      <c r="F154" s="106"/>
      <c r="G154" s="106"/>
      <c r="H154" s="106"/>
      <c r="I154" s="106"/>
    </row>
    <row r="155" spans="1:9" x14ac:dyDescent="0.3">
      <c r="A155" s="106"/>
      <c r="E155" s="106"/>
      <c r="F155" s="106"/>
      <c r="G155" s="106"/>
      <c r="H155" s="106"/>
      <c r="I155" s="106"/>
    </row>
    <row r="156" spans="1:9" x14ac:dyDescent="0.3">
      <c r="A156" s="106"/>
      <c r="E156" s="106"/>
      <c r="F156" s="106"/>
      <c r="G156" s="106"/>
      <c r="H156" s="106"/>
      <c r="I156" s="106"/>
    </row>
    <row r="157" spans="1:9" x14ac:dyDescent="0.3">
      <c r="A157" s="106"/>
      <c r="E157" s="106"/>
      <c r="F157" s="106"/>
      <c r="G157" s="106"/>
      <c r="H157" s="106"/>
      <c r="I157" s="106"/>
    </row>
    <row r="158" spans="1:9" x14ac:dyDescent="0.3">
      <c r="A158" s="106"/>
      <c r="E158" s="106"/>
      <c r="F158" s="106"/>
      <c r="G158" s="106"/>
      <c r="H158" s="106"/>
      <c r="I158" s="106"/>
    </row>
    <row r="159" spans="1:9" x14ac:dyDescent="0.3">
      <c r="A159" s="106"/>
      <c r="E159" s="106"/>
      <c r="F159" s="106"/>
      <c r="G159" s="106"/>
      <c r="H159" s="106"/>
      <c r="I159" s="106"/>
    </row>
    <row r="160" spans="1:9" x14ac:dyDescent="0.3">
      <c r="A160" s="106"/>
      <c r="E160" s="106"/>
      <c r="F160" s="106"/>
      <c r="G160" s="106"/>
      <c r="H160" s="106"/>
      <c r="I160" s="106"/>
    </row>
    <row r="161" spans="1:9" x14ac:dyDescent="0.3">
      <c r="A161" s="106"/>
      <c r="E161" s="106"/>
      <c r="F161" s="106"/>
      <c r="G161" s="106"/>
      <c r="H161" s="106"/>
      <c r="I161" s="106"/>
    </row>
    <row r="162" spans="1:9" x14ac:dyDescent="0.3">
      <c r="A162" s="106"/>
      <c r="E162" s="106"/>
      <c r="F162" s="106"/>
      <c r="G162" s="106"/>
      <c r="H162" s="106"/>
      <c r="I162" s="106"/>
    </row>
    <row r="163" spans="1:9" x14ac:dyDescent="0.3">
      <c r="A163" s="106"/>
      <c r="E163" s="106"/>
      <c r="F163" s="106"/>
      <c r="G163" s="106"/>
      <c r="H163" s="106"/>
      <c r="I163" s="106"/>
    </row>
    <row r="164" spans="1:9" x14ac:dyDescent="0.3">
      <c r="A164" s="106"/>
      <c r="E164" s="106"/>
      <c r="F164" s="106"/>
      <c r="G164" s="106"/>
      <c r="H164" s="106"/>
      <c r="I164" s="106"/>
    </row>
    <row r="165" spans="1:9" x14ac:dyDescent="0.3">
      <c r="A165" s="106"/>
      <c r="E165" s="106"/>
      <c r="F165" s="106"/>
      <c r="G165" s="106"/>
      <c r="H165" s="106"/>
      <c r="I165" s="106"/>
    </row>
    <row r="166" spans="1:9" x14ac:dyDescent="0.3">
      <c r="A166" s="106"/>
      <c r="E166" s="106"/>
      <c r="F166" s="106"/>
      <c r="G166" s="106"/>
      <c r="H166" s="106"/>
      <c r="I166" s="106"/>
    </row>
    <row r="167" spans="1:9" x14ac:dyDescent="0.3">
      <c r="A167" s="106"/>
      <c r="E167" s="106"/>
      <c r="F167" s="106"/>
      <c r="G167" s="106"/>
      <c r="H167" s="106"/>
      <c r="I167" s="106"/>
    </row>
    <row r="168" spans="1:9" x14ac:dyDescent="0.3">
      <c r="A168" s="106"/>
      <c r="E168" s="106"/>
      <c r="F168" s="106"/>
      <c r="G168" s="106"/>
      <c r="H168" s="106"/>
      <c r="I168" s="106"/>
    </row>
    <row r="169" spans="1:9" x14ac:dyDescent="0.3">
      <c r="A169" s="106"/>
      <c r="E169" s="106"/>
      <c r="F169" s="106"/>
      <c r="G169" s="106"/>
      <c r="H169" s="106"/>
      <c r="I169" s="106"/>
    </row>
    <row r="170" spans="1:9" x14ac:dyDescent="0.3">
      <c r="A170" s="106"/>
      <c r="E170" s="106"/>
      <c r="F170" s="106"/>
      <c r="G170" s="106"/>
      <c r="H170" s="106"/>
      <c r="I170" s="106"/>
    </row>
    <row r="171" spans="1:9" x14ac:dyDescent="0.3">
      <c r="A171" s="106"/>
      <c r="E171" s="106"/>
      <c r="F171" s="106"/>
      <c r="G171" s="106"/>
      <c r="H171" s="106"/>
      <c r="I171" s="106"/>
    </row>
    <row r="172" spans="1:9" x14ac:dyDescent="0.3">
      <c r="A172" s="106"/>
      <c r="E172" s="106"/>
      <c r="F172" s="106"/>
      <c r="G172" s="106"/>
      <c r="H172" s="106"/>
      <c r="I172" s="106"/>
    </row>
    <row r="173" spans="1:9" x14ac:dyDescent="0.3">
      <c r="A173" s="106"/>
      <c r="E173" s="106"/>
      <c r="F173" s="106"/>
      <c r="G173" s="106"/>
      <c r="H173" s="106"/>
      <c r="I173" s="106"/>
    </row>
    <row r="174" spans="1:9" x14ac:dyDescent="0.3">
      <c r="A174" s="106"/>
      <c r="E174" s="106"/>
      <c r="F174" s="106"/>
      <c r="G174" s="106"/>
      <c r="H174" s="106"/>
      <c r="I174" s="106"/>
    </row>
    <row r="175" spans="1:9" x14ac:dyDescent="0.3">
      <c r="A175" s="106"/>
      <c r="E175" s="106"/>
      <c r="F175" s="106"/>
      <c r="G175" s="106"/>
      <c r="H175" s="106"/>
      <c r="I175" s="106"/>
    </row>
    <row r="176" spans="1:9" x14ac:dyDescent="0.3">
      <c r="A176" s="106"/>
      <c r="E176" s="106"/>
      <c r="F176" s="106"/>
      <c r="G176" s="106"/>
      <c r="H176" s="106"/>
      <c r="I176" s="106"/>
    </row>
    <row r="177" spans="1:9" x14ac:dyDescent="0.3">
      <c r="A177" s="106"/>
      <c r="E177" s="106"/>
      <c r="F177" s="106"/>
      <c r="G177" s="106"/>
      <c r="H177" s="106"/>
      <c r="I177" s="106"/>
    </row>
    <row r="178" spans="1:9" x14ac:dyDescent="0.3">
      <c r="A178" s="106"/>
      <c r="E178" s="106"/>
      <c r="F178" s="106"/>
      <c r="G178" s="106"/>
      <c r="H178" s="106"/>
      <c r="I178" s="106"/>
    </row>
    <row r="179" spans="1:9" x14ac:dyDescent="0.3">
      <c r="A179" s="106"/>
      <c r="E179" s="106"/>
      <c r="F179" s="106"/>
      <c r="G179" s="106"/>
      <c r="H179" s="106"/>
      <c r="I179" s="106"/>
    </row>
    <row r="180" spans="1:9" x14ac:dyDescent="0.3">
      <c r="A180" s="106"/>
      <c r="E180" s="106"/>
      <c r="F180" s="106"/>
      <c r="G180" s="106"/>
      <c r="H180" s="106"/>
      <c r="I180" s="106"/>
    </row>
    <row r="181" spans="1:9" x14ac:dyDescent="0.3">
      <c r="A181" s="106"/>
      <c r="E181" s="106"/>
      <c r="F181" s="106"/>
      <c r="G181" s="106"/>
      <c r="H181" s="106"/>
      <c r="I181" s="106"/>
    </row>
    <row r="182" spans="1:9" x14ac:dyDescent="0.3">
      <c r="A182" s="106"/>
      <c r="E182" s="106"/>
      <c r="F182" s="106"/>
      <c r="G182" s="106"/>
      <c r="H182" s="106"/>
      <c r="I182" s="106"/>
    </row>
    <row r="183" spans="1:9" x14ac:dyDescent="0.3">
      <c r="A183" s="106"/>
      <c r="E183" s="106"/>
      <c r="F183" s="106"/>
      <c r="G183" s="106"/>
      <c r="H183" s="106"/>
      <c r="I183" s="106"/>
    </row>
    <row r="184" spans="1:9" x14ac:dyDescent="0.3">
      <c r="A184" s="106"/>
      <c r="E184" s="106"/>
      <c r="F184" s="106"/>
      <c r="G184" s="106"/>
      <c r="H184" s="106"/>
      <c r="I184" s="106"/>
    </row>
    <row r="185" spans="1:9" x14ac:dyDescent="0.3">
      <c r="A185" s="106"/>
      <c r="E185" s="106"/>
      <c r="F185" s="106"/>
      <c r="G185" s="106"/>
      <c r="H185" s="106"/>
      <c r="I185" s="106"/>
    </row>
    <row r="186" spans="1:9" x14ac:dyDescent="0.3">
      <c r="A186" s="106"/>
      <c r="E186" s="106"/>
      <c r="F186" s="106"/>
      <c r="G186" s="106"/>
      <c r="H186" s="106"/>
      <c r="I186" s="106"/>
    </row>
    <row r="187" spans="1:9" x14ac:dyDescent="0.3">
      <c r="A187" s="106"/>
      <c r="E187" s="106"/>
      <c r="F187" s="106"/>
      <c r="G187" s="106"/>
      <c r="H187" s="106"/>
      <c r="I187" s="106"/>
    </row>
    <row r="188" spans="1:9" x14ac:dyDescent="0.3">
      <c r="A188" s="106"/>
      <c r="E188" s="106"/>
      <c r="F188" s="106"/>
      <c r="G188" s="106"/>
      <c r="H188" s="106"/>
      <c r="I188" s="106"/>
    </row>
    <row r="189" spans="1:9" x14ac:dyDescent="0.3">
      <c r="A189" s="106"/>
      <c r="E189" s="106"/>
      <c r="F189" s="106"/>
      <c r="G189" s="106"/>
      <c r="H189" s="106"/>
      <c r="I189" s="106"/>
    </row>
    <row r="190" spans="1:9" x14ac:dyDescent="0.3">
      <c r="A190" s="106"/>
      <c r="E190" s="106"/>
      <c r="F190" s="106"/>
      <c r="G190" s="106"/>
      <c r="H190" s="106"/>
      <c r="I190" s="106"/>
    </row>
    <row r="191" spans="1:9" x14ac:dyDescent="0.3">
      <c r="A191" s="106"/>
      <c r="E191" s="106"/>
      <c r="F191" s="106"/>
      <c r="G191" s="106"/>
      <c r="H191" s="106"/>
      <c r="I191" s="106"/>
    </row>
    <row r="192" spans="1:9" x14ac:dyDescent="0.3">
      <c r="A192" s="106"/>
      <c r="E192" s="106"/>
      <c r="F192" s="106"/>
      <c r="G192" s="106"/>
      <c r="H192" s="106"/>
      <c r="I192" s="106"/>
    </row>
    <row r="193" spans="1:9" x14ac:dyDescent="0.3">
      <c r="A193" s="106"/>
      <c r="E193" s="106"/>
      <c r="F193" s="106"/>
      <c r="G193" s="106"/>
      <c r="H193" s="106"/>
      <c r="I193" s="106"/>
    </row>
    <row r="194" spans="1:9" x14ac:dyDescent="0.3">
      <c r="A194" s="106"/>
      <c r="E194" s="106"/>
      <c r="F194" s="106"/>
      <c r="G194" s="106"/>
      <c r="H194" s="106"/>
      <c r="I194" s="106"/>
    </row>
    <row r="195" spans="1:9" x14ac:dyDescent="0.3">
      <c r="A195" s="106"/>
      <c r="E195" s="106"/>
      <c r="F195" s="106"/>
      <c r="G195" s="106"/>
      <c r="H195" s="106"/>
      <c r="I195" s="106"/>
    </row>
    <row r="196" spans="1:9" x14ac:dyDescent="0.3">
      <c r="A196" s="106"/>
      <c r="E196" s="106"/>
      <c r="F196" s="106"/>
      <c r="G196" s="106"/>
      <c r="H196" s="106"/>
      <c r="I196" s="106"/>
    </row>
    <row r="197" spans="1:9" x14ac:dyDescent="0.3">
      <c r="A197" s="106"/>
      <c r="E197" s="106"/>
      <c r="F197" s="106"/>
      <c r="G197" s="106"/>
      <c r="H197" s="106"/>
      <c r="I197" s="106"/>
    </row>
    <row r="198" spans="1:9" x14ac:dyDescent="0.3">
      <c r="A198" s="106"/>
      <c r="E198" s="106"/>
      <c r="F198" s="106"/>
      <c r="G198" s="106"/>
      <c r="H198" s="106"/>
      <c r="I198" s="106"/>
    </row>
    <row r="199" spans="1:9" x14ac:dyDescent="0.3">
      <c r="A199" s="106"/>
      <c r="E199" s="106"/>
      <c r="F199" s="106"/>
      <c r="G199" s="106"/>
      <c r="H199" s="106"/>
      <c r="I199" s="106"/>
    </row>
    <row r="200" spans="1:9" x14ac:dyDescent="0.3">
      <c r="A200" s="106"/>
      <c r="E200" s="106"/>
      <c r="F200" s="106"/>
      <c r="G200" s="106"/>
      <c r="H200" s="106"/>
      <c r="I200" s="106"/>
    </row>
    <row r="201" spans="1:9" x14ac:dyDescent="0.3">
      <c r="A201" s="106"/>
      <c r="E201" s="106"/>
      <c r="F201" s="106"/>
      <c r="G201" s="106"/>
      <c r="H201" s="106"/>
      <c r="I201" s="106"/>
    </row>
    <row r="202" spans="1:9" x14ac:dyDescent="0.3">
      <c r="A202" s="106"/>
      <c r="E202" s="106"/>
      <c r="F202" s="106"/>
      <c r="G202" s="106"/>
      <c r="H202" s="106"/>
      <c r="I202" s="106"/>
    </row>
    <row r="203" spans="1:9" x14ac:dyDescent="0.3">
      <c r="A203" s="106"/>
      <c r="E203" s="106"/>
      <c r="F203" s="106"/>
      <c r="G203" s="106"/>
      <c r="H203" s="106"/>
      <c r="I203" s="106"/>
    </row>
    <row r="204" spans="1:9" x14ac:dyDescent="0.3">
      <c r="A204" s="106"/>
      <c r="E204" s="106"/>
      <c r="F204" s="106"/>
      <c r="G204" s="106"/>
      <c r="H204" s="106"/>
      <c r="I204" s="106"/>
    </row>
    <row r="205" spans="1:9" x14ac:dyDescent="0.3">
      <c r="A205" s="106"/>
      <c r="E205" s="106"/>
      <c r="F205" s="106"/>
      <c r="G205" s="106"/>
      <c r="H205" s="106"/>
      <c r="I205" s="106"/>
    </row>
    <row r="206" spans="1:9" x14ac:dyDescent="0.3">
      <c r="A206" s="106"/>
      <c r="E206" s="106"/>
      <c r="F206" s="106"/>
      <c r="G206" s="106"/>
      <c r="H206" s="106"/>
      <c r="I206" s="106"/>
    </row>
    <row r="207" spans="1:9" x14ac:dyDescent="0.3">
      <c r="A207" s="106"/>
      <c r="E207" s="106"/>
      <c r="F207" s="106"/>
      <c r="G207" s="106"/>
      <c r="H207" s="106"/>
      <c r="I207" s="106"/>
    </row>
    <row r="208" spans="1:9" x14ac:dyDescent="0.3">
      <c r="A208" s="106"/>
      <c r="E208" s="106"/>
      <c r="F208" s="106"/>
      <c r="G208" s="106"/>
      <c r="H208" s="106"/>
      <c r="I208" s="106"/>
    </row>
    <row r="209" spans="1:9" x14ac:dyDescent="0.3">
      <c r="A209" s="106"/>
      <c r="E209" s="106"/>
      <c r="F209" s="106"/>
      <c r="G209" s="106"/>
      <c r="H209" s="106"/>
      <c r="I209" s="106"/>
    </row>
    <row r="210" spans="1:9" x14ac:dyDescent="0.3">
      <c r="A210" s="106"/>
      <c r="E210" s="106"/>
      <c r="F210" s="106"/>
      <c r="G210" s="106"/>
      <c r="H210" s="106"/>
      <c r="I210" s="106"/>
    </row>
    <row r="211" spans="1:9" x14ac:dyDescent="0.3">
      <c r="A211" s="106"/>
      <c r="E211" s="106"/>
      <c r="F211" s="106"/>
      <c r="G211" s="106"/>
      <c r="H211" s="106"/>
      <c r="I211" s="106"/>
    </row>
    <row r="212" spans="1:9" x14ac:dyDescent="0.3">
      <c r="A212" s="106"/>
      <c r="E212" s="106"/>
      <c r="F212" s="106"/>
      <c r="G212" s="106"/>
      <c r="H212" s="106"/>
      <c r="I212" s="106"/>
    </row>
    <row r="213" spans="1:9" x14ac:dyDescent="0.3">
      <c r="A213" s="106"/>
      <c r="E213" s="106"/>
      <c r="F213" s="106"/>
      <c r="G213" s="106"/>
      <c r="H213" s="106"/>
      <c r="I213" s="106"/>
    </row>
    <row r="214" spans="1:9" x14ac:dyDescent="0.3">
      <c r="A214" s="106"/>
      <c r="E214" s="106"/>
      <c r="F214" s="106"/>
      <c r="G214" s="106"/>
      <c r="H214" s="106"/>
      <c r="I214" s="106"/>
    </row>
    <row r="215" spans="1:9" x14ac:dyDescent="0.3">
      <c r="A215" s="106"/>
      <c r="E215" s="106"/>
      <c r="F215" s="106"/>
      <c r="G215" s="106"/>
      <c r="H215" s="106"/>
      <c r="I215" s="106"/>
    </row>
    <row r="216" spans="1:9" x14ac:dyDescent="0.3">
      <c r="A216" s="106"/>
      <c r="E216" s="106"/>
      <c r="F216" s="106"/>
      <c r="G216" s="106"/>
      <c r="H216" s="106"/>
      <c r="I216" s="106"/>
    </row>
    <row r="217" spans="1:9" x14ac:dyDescent="0.3">
      <c r="A217" s="106"/>
      <c r="E217" s="106"/>
      <c r="F217" s="106"/>
      <c r="G217" s="106"/>
      <c r="H217" s="106"/>
      <c r="I217" s="106"/>
    </row>
  </sheetData>
  <autoFilter ref="A1:J95">
    <filterColumn colId="9">
      <filters>
        <filter val="Choix multiple: Toutes les réponses sont égales (pondération modale)"/>
        <filter val="Toutes les réponses sont égales (pondération modale)"/>
      </filters>
    </filterColumn>
  </autoFilter>
  <conditionalFormatting sqref="G27">
    <cfRule type="duplicateValues" dxfId="2" priority="3"/>
  </conditionalFormatting>
  <conditionalFormatting sqref="G45">
    <cfRule type="duplicateValues" dxfId="1" priority="2"/>
  </conditionalFormatting>
  <conditionalFormatting sqref="G28">
    <cfRule type="duplicateValues" dxfId="0" priority="1"/>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MSNA_HH</vt:lpstr>
      <vt:lpstr>MSNA_KI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REACH-RCA-AO</dc:creator>
  <cp:lastModifiedBy>Elliott Messeiller</cp:lastModifiedBy>
  <dcterms:created xsi:type="dcterms:W3CDTF">2019-05-27T13:18:16Z</dcterms:created>
  <dcterms:modified xsi:type="dcterms:W3CDTF">2019-08-31T18:26:52Z</dcterms:modified>
</cp:coreProperties>
</file>